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ucas\Desktop\Repositorys\QA-Automation-Projects\Playwright\"/>
    </mc:Choice>
  </mc:AlternateContent>
  <xr:revisionPtr revIDLastSave="0" documentId="13_ncr:1_{9486CD47-8A3B-4C5B-B9B4-E4D4A20565DC}" xr6:coauthVersionLast="47" xr6:coauthVersionMax="47" xr10:uidLastSave="{00000000-0000-0000-0000-000000000000}"/>
  <bookViews>
    <workbookView xWindow="-120" yWindow="-120" windowWidth="21840" windowHeight="13140" xr2:uid="{FD97303A-53B3-48AB-ABDA-C3D67ED6805C}"/>
  </bookViews>
  <sheets>
    <sheet name="Version" sheetId="1" r:id="rId1"/>
    <sheet name="Timeline" sheetId="11" r:id="rId2"/>
    <sheet name="Timeline graphic" sheetId="17" r:id="rId3"/>
    <sheet name="Risk" sheetId="10" r:id="rId4"/>
    <sheet name="Q&amp;A" sheetId="4" r:id="rId5"/>
    <sheet name="Features" sheetId="8" r:id="rId6"/>
    <sheet name="High Test Design V1.0" sheetId="2" r:id="rId7"/>
    <sheet name="Low Test Design V1.0" sheetId="13" r:id="rId8"/>
    <sheet name="Impacted Apps" sheetId="12" r:id="rId9"/>
    <sheet name="Brainstorm Flow" sheetId="9" r:id="rId10"/>
    <sheet name="Legends" sheetId="7" r:id="rId11"/>
    <sheet name="Test data - Prod Env" sheetId="6" state="hidden" r:id="rId12"/>
    <sheet name="Test Data - Low Env" sheetId="5" state="hidden" r:id="rId13"/>
  </sheets>
  <calcPr calcId="191028"/>
  <pivotCaches>
    <pivotCache cacheId="17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" i="11" l="1"/>
  <c r="M4" i="11"/>
  <c r="M3" i="11"/>
  <c r="M2" i="11"/>
  <c r="D3" i="11"/>
  <c r="D4" i="11"/>
  <c r="D2" i="11"/>
</calcChain>
</file>

<file path=xl/sharedStrings.xml><?xml version="1.0" encoding="utf-8"?>
<sst xmlns="http://schemas.openxmlformats.org/spreadsheetml/2006/main" count="460" uniqueCount="184">
  <si>
    <t xml:space="preserve">OrangeHRM Regression </t>
  </si>
  <si>
    <t>Date</t>
  </si>
  <si>
    <t>Version</t>
  </si>
  <si>
    <t>Author</t>
  </si>
  <si>
    <t>Comments</t>
  </si>
  <si>
    <t>1.0</t>
  </si>
  <si>
    <t>Call outs &amp; Exceptions</t>
  </si>
  <si>
    <t>Index</t>
  </si>
  <si>
    <t>Test Type</t>
  </si>
  <si>
    <t>Run Type</t>
  </si>
  <si>
    <t>Priority</t>
  </si>
  <si>
    <t>Question Type</t>
  </si>
  <si>
    <t>Scope</t>
  </si>
  <si>
    <t>Manual</t>
  </si>
  <si>
    <t>High</t>
  </si>
  <si>
    <t>Access</t>
  </si>
  <si>
    <t>Yes</t>
  </si>
  <si>
    <t>Automation</t>
  </si>
  <si>
    <t>Medium</t>
  </si>
  <si>
    <t>Requirement</t>
  </si>
  <si>
    <t>No</t>
  </si>
  <si>
    <t>Low</t>
  </si>
  <si>
    <t>NA</t>
  </si>
  <si>
    <t>Info</t>
  </si>
  <si>
    <t>Load</t>
  </si>
  <si>
    <t>Stress</t>
  </si>
  <si>
    <t>Type</t>
  </si>
  <si>
    <t>Pending With</t>
  </si>
  <si>
    <t>Question</t>
  </si>
  <si>
    <t>Answer</t>
  </si>
  <si>
    <t>Capability</t>
  </si>
  <si>
    <t>Feature</t>
  </si>
  <si>
    <t>Story</t>
  </si>
  <si>
    <t>In Scope</t>
  </si>
  <si>
    <t>Notes</t>
  </si>
  <si>
    <t>App</t>
  </si>
  <si>
    <t>Flow</t>
  </si>
  <si>
    <t>Test Scenario</t>
  </si>
  <si>
    <t>Requisite</t>
  </si>
  <si>
    <t>Validation Checkpoints</t>
  </si>
  <si>
    <t>TC Count</t>
  </si>
  <si>
    <t>Test  Type</t>
  </si>
  <si>
    <t>Review Status</t>
  </si>
  <si>
    <t>Lucas Alexandre</t>
  </si>
  <si>
    <t>Jira Type</t>
  </si>
  <si>
    <t>ID</t>
  </si>
  <si>
    <t>OrangeHRM</t>
  </si>
  <si>
    <t>Approved</t>
  </si>
  <si>
    <t>Reproved</t>
  </si>
  <si>
    <t>Not Applicable</t>
  </si>
  <si>
    <t>Dev component</t>
  </si>
  <si>
    <t>Impacted</t>
  </si>
  <si>
    <t>Code Drop Date</t>
  </si>
  <si>
    <t>Dev POC</t>
  </si>
  <si>
    <t>Mitigation Plan</t>
  </si>
  <si>
    <t>Note</t>
  </si>
  <si>
    <t>Risk</t>
  </si>
  <si>
    <t>Total</t>
  </si>
  <si>
    <t>PROD Release Date</t>
  </si>
  <si>
    <t>N° of Availiable Test Days</t>
  </si>
  <si>
    <t>Plan Status</t>
  </si>
  <si>
    <t>Scope / Impact</t>
  </si>
  <si>
    <t>Review / Risk Status</t>
  </si>
  <si>
    <t>Lorem Ipsum</t>
  </si>
  <si>
    <t>LC 11/05] Prioritization done in X test management tool</t>
  </si>
  <si>
    <t>Lucas</t>
  </si>
  <si>
    <t>Release:</t>
  </si>
  <si>
    <t>URL: http://localhost:8080/web/index.php/auth/login</t>
  </si>
  <si>
    <t>CAP-01</t>
  </si>
  <si>
    <t>Add</t>
  </si>
  <si>
    <t>Remove</t>
  </si>
  <si>
    <t>Performance</t>
  </si>
  <si>
    <t>TC01_Verify if after creating a employee with login details and set Status as Enabled, then system allow user to login</t>
  </si>
  <si>
    <t>TC02_Verify if after creating a employee with login details and set Status as Disabled, then system shouldn't allow user to login</t>
  </si>
  <si>
    <t xml:space="preserve">Access to OrangeHRM
User with Admin profile
Valid data for new employee creation </t>
  </si>
  <si>
    <t>Smoke</t>
  </si>
  <si>
    <t>E2E</t>
  </si>
  <si>
    <t>Regression</t>
  </si>
  <si>
    <t>Accesibility</t>
  </si>
  <si>
    <t>TC03_Verify system allow to create a new employee</t>
  </si>
  <si>
    <t>LC 09/02/26] May become part of regression test case</t>
  </si>
  <si>
    <t>Verify user should be able to access the system with a Admin account and see Admin and PIM menu options;
Go to PIM &gt; Employee List  and click on Add button then create a new employee with login credentials as well with Status as enabled successfully;
Search the new employee on PIM &gt; Employee List;
Login successfully using the new employee credentials
New user shouldn't be able to see Admin and PIM menu options;  
Verify hs_hr_employee table and check if saved details are correct;
Verify ohrm_user table and check if saved details are correct;</t>
  </si>
  <si>
    <t>Verify user should be able to access the system with a Admin account and see Admin and PIM menu options;
Go to PIM &gt; Employee List  and click on Add button then create a new employee with login credentials as well with Status as enabled successfully;
Search the new employee on PIM &gt; Employee List;
Verify user shouldn't be able to login using the new employee credentials;
Verify hs_hr_employee table and check if saved details are correct;
Verify ohrm_user table and check if saved details are correct;</t>
  </si>
  <si>
    <t>Verify user should be able to access the system with a Admin account and see Admin and PIM menu options;
Go to PIM &gt; Employee List  and click on Add button then create a new employee;
Search the new employee on PIM &gt; Employee List;
Verify hs_hr_employee table and check if saved details are correct;</t>
  </si>
  <si>
    <t>TC04_Verify Admin user can update a employee register and save new contact details successfully</t>
  </si>
  <si>
    <t xml:space="preserve">Access to OrangeHRM
User with Admin profile
Availiable employee register </t>
  </si>
  <si>
    <t>TC05_Verify Admin user can remove a employee register successfully</t>
  </si>
  <si>
    <t>Verify user should be able to access the system with a Admin account and see Admin and PIM menu options;
Go to PIM &gt; Employee List  and click on Edit button at desired employee register;
Search the new employee on PIM &gt; Employee List;
Verify hs_hr_employee table and check if saved details are correct;</t>
  </si>
  <si>
    <t>Verify user should be able to access the system with a Admin account and see Admin and PIM menu options;
Go to PIM &gt; Employee List  and click on Remove button at desired employee register;
Search the new employee on PIM &gt; Employee List and check it will not be visible anymore;
Verify deleted user is not able to login;
Verify hs_hr_employee table and check if details are removed;
Verify ohrm_user table table and check if details are removed;</t>
  </si>
  <si>
    <t>LC 09/02/26] Need to test with below conditions:
- 1 Deprecated Fields
- 1 Country Specific Information
- 1 Deprecated Fields &amp; 1 Country Specific Information
- All fields (Deprecated &amp; Country Specific Information)</t>
  </si>
  <si>
    <t>LC 09/02/26] Need to test with below conditions:
- 1 Text or Number Custom Field
- 1 Drop Down Custom Field
LC 09/02/26] Add only on the Personal Details</t>
  </si>
  <si>
    <t>TC07_Verify Admin user can create a Custom Fields and system should allow Admin user to update the new Custom fields on a employee register successfully</t>
  </si>
  <si>
    <t xml:space="preserve">TC08_Verify Admin user can update a Custom Fields successfully and previous data on the employee register shouldn't be affecte by the update </t>
  </si>
  <si>
    <t xml:space="preserve">TC09_Verify Admin user can delete a Custom Fields successfully and previous data on the employee register should be deleted as well </t>
  </si>
  <si>
    <r>
      <t xml:space="preserve">TC10_Verify Admin user can update a Custom Fields successfully form Text or Number to Drop Down and </t>
    </r>
    <r>
      <rPr>
        <sz val="11"/>
        <color rgb="FF7030A0"/>
        <rFont val="Aptos Narrow"/>
        <family val="2"/>
        <scheme val="minor"/>
      </rPr>
      <t>previous data on the employee register shouldn't be affecte by the update?</t>
    </r>
  </si>
  <si>
    <t>Exploratory</t>
  </si>
  <si>
    <t>TC11_Verify Admin user can create a Report successfully</t>
  </si>
  <si>
    <t>TC12_Verify Admin user can edit a Report successfully</t>
  </si>
  <si>
    <t>TC13_Verify Admin user can delete a Report successfully</t>
  </si>
  <si>
    <t>LC 09/02/2026] Financial Team flag this Test Case as Critical for test as reports are critical for clients</t>
  </si>
  <si>
    <t>TC14_Verify Admin user can upload a csv file to import new employee register successfully</t>
  </si>
  <si>
    <t>TC16_Verify if Admin user upload a csv file with invalid date type format on new employee register then system present a error message</t>
  </si>
  <si>
    <t>TC15_Verify if Admin user upload a csv file with missing first name/last name for new employee register then system present a error message</t>
  </si>
  <si>
    <t>TC17_Verify if Admin user upload a csv file with invalid gender value on new employee register then system present a error message</t>
  </si>
  <si>
    <t>LC 09/02/2026] Use more then 1 data on the csv and randomly add or remove the requried fields for each record</t>
  </si>
  <si>
    <t>LC 09/02/2026] Use more then 1 data on the csv and randomly add or remove the correct date formatt for each record</t>
  </si>
  <si>
    <t>LC 09/02/2026] Use more then 1 data on the csv and randomly add or remove the correct sex gender for each record</t>
  </si>
  <si>
    <t>Access to OrangeHRM
User with Admin profile</t>
  </si>
  <si>
    <t>PIM</t>
  </si>
  <si>
    <t>Verify user should be able to access the system with a Admin account and see Admin and PIM menu options;
Go to PIM &gt; Configuration &gt; Custom Fields and click on +Add button; 
Fill the Field Name, Screen and Type inputs with the desired data and click on Save;
Verify when updating a employee register at employee personal details page that activated Optional Fields should be presented;
Update the Optional fields with correct data and save successfully;
Verify hs_hr_employee table and check if details are saved;</t>
  </si>
  <si>
    <t>Verify user should be able to access the system with a Admin account and see Admin and PIM menu options;
Go to PIM &gt; Configuration &gt; Optional Fields;
Activate the desired optional fields and click on Save;
Verify when updating a employee register at employee personal details page that activated Optional Fields should be presented;
Update the Optional fields with correct data and save successfully;
Verify hs_hr_employee table and check if details are saved;</t>
  </si>
  <si>
    <t>Access to OrangeHRM
User with Admin profile
Availiable employee register 
Availiable custom field</t>
  </si>
  <si>
    <t>Verify user should be able to access the system with a Admin account and see Admin and PIM menu options;
Go to PIM &gt; Configuration &gt; Custom Fields and click on Remove at desired custom field register; 
Confirm the removal of the Custom Field on the modal successfully;
Verify at employee details page that activated Optional Fields shouldn't be presented;
Verify hs_hr_employee table and check if details are removed;</t>
  </si>
  <si>
    <r>
      <t xml:space="preserve">Verify user should be able to access the system with a Admin account and see Admin and PIM menu options;
Go to PIM &gt; Configuration &gt; Custom Fields and click on edit at desired custom field register; 
Update the Field Name and Type input with the desired data and click on Save;
</t>
    </r>
    <r>
      <rPr>
        <sz val="11"/>
        <color rgb="FF7030A0"/>
        <rFont val="Aptos Narrow"/>
        <family val="2"/>
        <scheme val="minor"/>
      </rPr>
      <t>Verify at employee details page that activated Optional Fields should be presented and with updated name;
Verify hs_hr_employee table and check if details are saved;</t>
    </r>
  </si>
  <si>
    <t>LC 09/02/26] Bussiness is not aware how the system should behave then we will proceed with test execution for this TC sharing the results to Bussiness and Dev team</t>
  </si>
  <si>
    <t>Verify user should be able to access the system with a Admin account and see Admin and PIM menu options;
Go to PIM &gt; Reports and click on +Add button; 
Fill the Report Name Input, add a selection criteria and Display Fields and click on Save;
Click on view report and check if details are presented succeessfully based on the provided criteria and display fields;
Verify ohrm_report table and check if details are saved;
Verify ohrm_selected_group_field table and check if details are saved;
Verify ohrm_selected_filter_field table and check if details are saved;
Verify ohrm_report_group table and check if details are saved;
Verify ohrm_selected_display_field table and check if details are saved;
Verify ohrm_selected_composite_display_field table and check if details are saved;
Verify ohrm_selected_display_field_group table and check if details are saved;</t>
  </si>
  <si>
    <t>Access to OrangeHRM
User with Admin profile
Availiable employee register 
Availiable Report register</t>
  </si>
  <si>
    <t>Verify user should be able to access the system with a Admin account and see Admin and PIM menu options;
Go to PIM &gt; Reports and click on Edit button at desired Report; 
Click on delete report and check if the same will not be visible at report search;
Verify ohrm_report table and check if details are deleted;
Verify ohrm_selected_group_field table and check if details are deleted;
Verify ohrm_selected_filter_field table and check if details are deleted;
Verify ohrm_report_group table and check if details are deleted;
Verify ohrm_selected_display_field table and check if details are deleted;
Verify ohrm_selected_composite_display_field table and check if details are deleted;
Verify ohrm_selected_display_field_group table and check if details are deleted;</t>
  </si>
  <si>
    <t>Verify user should be able to access the system with a Admin account and see Admin and PIM menu options;
Go to PIM &gt; Reports and click on Edit button at desired Report; 
Update the Report Name Input, Selection Criteria and Display Fields and click on Save;
Click on view report and check if details are presented succeessfully based on the provided criteria and display fields;
Verify ohrm_report table and check if details are saved;
Verify ohrm_selected_group_field table and check if details are updated;
Verify ohrm_selected_filter_field table and check if details are updated;
Verify ohrm_report_group table and check if details are updated;
Verify ohrm_selected_display_field table and check if details are updated;
Verify ohrm_selected_composite_display_field table and check if details are updated;
Verify ohrm_selected_display_field_group table and check if details are updated;</t>
  </si>
  <si>
    <t>Verify user should be able to access the system with a Admin account and see Admin and PIM menu options;
Go to PIM &gt; Configuration &gt; Custom Fields and click on edit at desired custom field register; 
Update the Field Name and Screen input with the desired data and click on Save;
Verify at employee details page that activated Optional Fields should be presented and with updated name;
Verify hs_hr_employee table and check if details are updated;</t>
  </si>
  <si>
    <t>TC06_Verify Admin user can Activate and Deactivate Optional Fields and system should allow Admin user to update the Optional fields on a employee register successfully</t>
  </si>
  <si>
    <t>Database</t>
  </si>
  <si>
    <t>Midleware</t>
  </si>
  <si>
    <t>Verify user should be able to access the system with a Admin account and see Admin and PIM menu options;
Go to PIM &gt; Configurations &gt; Data import and click on Download Sample CSV file; 
Fill the csv file with valid data and save successfully;
Click on Select File and add the CSV file then click on Upload;
Check success message;
Verify hs_hr_employee table and check if details are saved;
Search employee at PIM &gt; Employee List and check that teh register is uploaded succssfully on the system</t>
  </si>
  <si>
    <t>Verify user should be able to access the system with a Admin account and see Admin and PIM menu options;
Go to PIM &gt; Configurations &gt; Data import and click on Download Sample CSV file; 
Fill the csv file with invalid data and save successfully;
Click on Select File and add the CSV file then click on Upload;
Check error message;
Verify hs_hr_employee table and check if details are not saved;
Search employee at PIM &gt; Employee List and check that the register is not uploaded on the system</t>
  </si>
  <si>
    <t>OrangeHRM Database</t>
  </si>
  <si>
    <t>Middleware</t>
  </si>
  <si>
    <t>Employee List</t>
  </si>
  <si>
    <t>Page</t>
  </si>
  <si>
    <t>Reports</t>
  </si>
  <si>
    <t>Functions</t>
  </si>
  <si>
    <t>Optional Fields</t>
  </si>
  <si>
    <t>Custom Fields</t>
  </si>
  <si>
    <t>Data Import</t>
  </si>
  <si>
    <t>Reporting Methods</t>
  </si>
  <si>
    <t>Termination Reasons</t>
  </si>
  <si>
    <t>Update</t>
  </si>
  <si>
    <t>SSE</t>
  </si>
  <si>
    <t>ADMIN</t>
  </si>
  <si>
    <t>Flows</t>
  </si>
  <si>
    <t>User Type</t>
  </si>
  <si>
    <t>Login Access</t>
  </si>
  <si>
    <t xml:space="preserve">Yes </t>
  </si>
  <si>
    <t>Active User</t>
  </si>
  <si>
    <t>CAP-1</t>
  </si>
  <si>
    <t>ST-1</t>
  </si>
  <si>
    <t>FT-1</t>
  </si>
  <si>
    <t>Added PIM page functions</t>
  </si>
  <si>
    <t>Who can provide us DB access?</t>
  </si>
  <si>
    <t>Ticket requried for install Dbeaver and Dev team will provide connection details</t>
  </si>
  <si>
    <t>What error messag should be display for CSV when system check and get some empty or invalid data on the file?</t>
  </si>
  <si>
    <t>Status</t>
  </si>
  <si>
    <t>Closed</t>
  </si>
  <si>
    <t>In Review</t>
  </si>
  <si>
    <t>Bussiness team is checking what should be the error message</t>
  </si>
  <si>
    <t>Where should Reporting methods appear?</t>
  </si>
  <si>
    <t>Where should Termination reasons appear?</t>
  </si>
  <si>
    <t>Moved to a new release - TBD</t>
  </si>
  <si>
    <t>Due to amount of defects SQaR is on risk of deliver the test cases for this release</t>
  </si>
  <si>
    <t>Prioritization of test cases is done with Bussiness team and planned Weekend Work; If requried Release Date may also change; We are working on a bridge with Dev team to get faster response on defect closure;</t>
  </si>
  <si>
    <t>TC06_1 Deprecated Field_Verify Admin user can Activate and Deactivate Optional Fields and system should allow Admin user to update the Optional fields on a employee register successfully</t>
  </si>
  <si>
    <t>TC07_1 Country Specific Information_Verify Admin user can Activate and Deactivate Optional Fields and system should allow Admin user to update the Optional fields on a employee register successfully</t>
  </si>
  <si>
    <t>TC08_1 Deprecated Fields &amp; 1 Country Specific Information_Verify Admin user can Activate and Deactivate Optional Fields and system should allow Admin user to update the Optional fields on a employee register successfully</t>
  </si>
  <si>
    <t>TC09_All fields (Deprecated &amp; Country Specific Information)_Verify Admin user can Activate and Deactivate Optional Fields and system should allow Admin user to update the Optional fields on a employee register successfully</t>
  </si>
  <si>
    <t>TC10_Text or Number Custom Field_Verify Admin user can create a Custom Fields and system should allow Admin user to update the new Custom fields on a employee register successfully</t>
  </si>
  <si>
    <t>TC11_Drop Down Custom Field_Verify Admin user can create a Custom Fields and system should allow Admin user to update the new Custom fields on a employee register successfully</t>
  </si>
  <si>
    <t xml:space="preserve">TC12_Text orNumber Custom Field_Verify Admin user can update a Custom Fields successfully and previous data on the employee register shouldn't be affecte by the update </t>
  </si>
  <si>
    <t xml:space="preserve">TC13_Drop Down Custom Field_Verify Admin user can update a Custom Fields successfully and previous data on the employee register shouldn't be affecte by the update </t>
  </si>
  <si>
    <t xml:space="preserve">TC14_Text or Number Custom Fields_Verify Admin user can delete a Custom Fields successfully and previous data on the employee register should be deleted as well </t>
  </si>
  <si>
    <t xml:space="preserve">TC15_Drop Down Custom Fields_Verify Admin user can delete a Custom Fields successfully and previous data on the employee register should be deleted as well </t>
  </si>
  <si>
    <r>
      <t xml:space="preserve">TC16_Verify Admin user can update a Custom Fields successfully form Text or Number to Drop Down and </t>
    </r>
    <r>
      <rPr>
        <sz val="11"/>
        <color rgb="FF7030A0"/>
        <rFont val="Aptos Narrow"/>
        <family val="2"/>
        <scheme val="minor"/>
      </rPr>
      <t>previous data on the employee register shouldn't be affecte by the update?</t>
    </r>
  </si>
  <si>
    <t>TC17_Verify Admin user can create a Report successfully</t>
  </si>
  <si>
    <t>TC18_Verify Admin user can edit a Report successfully</t>
  </si>
  <si>
    <t>TC19_Verify Admin user can delete a Report successfully</t>
  </si>
  <si>
    <t>TC20_Verify Admin user can upload a csv file to import new employee register successfully</t>
  </si>
  <si>
    <t>TC21_Verify if Admin user upload a csv file with missing first name/last name for new employee register then system present a error message</t>
  </si>
  <si>
    <t>TC22_Verify if Admin user upload a csv file with invalid date type format on new employee register then system present a error message</t>
  </si>
  <si>
    <t>TC23_Verify if Admin user upload a csv file with invalid gender value on new employee register then system present a error message</t>
  </si>
  <si>
    <t>Rótulos de Coluna</t>
  </si>
  <si>
    <t>Total Geral</t>
  </si>
  <si>
    <t>Contagem de Test Scenario</t>
  </si>
  <si>
    <t>Rótulos de Linha</t>
  </si>
  <si>
    <t>Total per Day</t>
  </si>
  <si>
    <t>Priority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</si>
</sst>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75" formatCode="0.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9" fillId="2" borderId="0" applyNumberFormat="0" applyBorder="0" applyAlignment="0" applyProtection="0"/>
  </cellStyleXfs>
  <cellXfs count="123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33" xfId="0" applyFont="1" applyBorder="1"/>
    <xf numFmtId="0" fontId="0" fillId="0" borderId="32" xfId="0" applyFont="1" applyBorder="1"/>
    <xf numFmtId="0" fontId="0" fillId="0" borderId="32" xfId="0" applyFont="1" applyBorder="1" applyAlignment="1">
      <alignment wrapText="1"/>
    </xf>
    <xf numFmtId="0" fontId="0" fillId="0" borderId="33" xfId="0" applyFont="1" applyBorder="1" applyAlignment="1">
      <alignment wrapText="1"/>
    </xf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0" fontId="5" fillId="0" borderId="33" xfId="0" applyFont="1" applyBorder="1" applyAlignment="1">
      <alignment wrapText="1"/>
    </xf>
    <xf numFmtId="0" fontId="0" fillId="0" borderId="30" xfId="0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6" fillId="0" borderId="0" xfId="0" applyFont="1"/>
    <xf numFmtId="0" fontId="0" fillId="0" borderId="7" xfId="0" applyFont="1" applyBorder="1" applyAlignment="1">
      <alignment wrapText="1"/>
    </xf>
    <xf numFmtId="0" fontId="0" fillId="0" borderId="0" xfId="0" applyFont="1"/>
    <xf numFmtId="0" fontId="0" fillId="0" borderId="21" xfId="0" applyFont="1" applyBorder="1" applyAlignment="1">
      <alignment wrapText="1"/>
    </xf>
    <xf numFmtId="14" fontId="0" fillId="0" borderId="32" xfId="0" applyNumberFormat="1" applyBorder="1" applyAlignment="1">
      <alignment wrapText="1"/>
    </xf>
    <xf numFmtId="14" fontId="0" fillId="0" borderId="33" xfId="0" applyNumberFormat="1" applyBorder="1" applyAlignment="1">
      <alignment wrapText="1"/>
    </xf>
    <xf numFmtId="0" fontId="4" fillId="0" borderId="37" xfId="0" applyNumberFormat="1" applyFont="1" applyBorder="1" applyAlignment="1">
      <alignment horizontal="center" vertical="center" wrapText="1"/>
    </xf>
    <xf numFmtId="0" fontId="4" fillId="0" borderId="39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left" vertical="center"/>
    </xf>
    <xf numFmtId="0" fontId="8" fillId="2" borderId="49" xfId="1" applyFont="1" applyBorder="1" applyAlignment="1">
      <alignment horizontal="center" vertical="center"/>
    </xf>
    <xf numFmtId="0" fontId="8" fillId="2" borderId="50" xfId="1" applyFont="1" applyBorder="1" applyAlignment="1">
      <alignment horizontal="center" vertical="center"/>
    </xf>
    <xf numFmtId="0" fontId="8" fillId="2" borderId="51" xfId="1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left" vertical="center" wrapText="1"/>
    </xf>
    <xf numFmtId="164" fontId="4" fillId="0" borderId="37" xfId="0" applyNumberFormat="1" applyFont="1" applyBorder="1" applyAlignment="1">
      <alignment vertical="center"/>
    </xf>
    <xf numFmtId="0" fontId="4" fillId="0" borderId="38" xfId="0" applyFont="1" applyBorder="1" applyAlignment="1">
      <alignment vertical="center" wrapText="1"/>
    </xf>
    <xf numFmtId="164" fontId="4" fillId="0" borderId="39" xfId="0" applyNumberFormat="1" applyFont="1" applyBorder="1" applyAlignment="1">
      <alignment vertical="center"/>
    </xf>
    <xf numFmtId="0" fontId="4" fillId="0" borderId="40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vertical="center" wrapText="1"/>
    </xf>
    <xf numFmtId="0" fontId="9" fillId="2" borderId="42" xfId="1" applyBorder="1" applyAlignment="1">
      <alignment horizontal="center" vertical="center"/>
    </xf>
    <xf numFmtId="0" fontId="8" fillId="2" borderId="9" xfId="1" applyFont="1" applyBorder="1" applyAlignment="1">
      <alignment horizontal="center" vertical="center" wrapText="1"/>
    </xf>
    <xf numFmtId="0" fontId="8" fillId="2" borderId="10" xfId="1" applyFont="1" applyBorder="1" applyAlignment="1">
      <alignment horizontal="center" vertical="center" wrapText="1"/>
    </xf>
    <xf numFmtId="0" fontId="8" fillId="2" borderId="11" xfId="1" applyFont="1" applyBorder="1" applyAlignment="1">
      <alignment horizontal="center" vertical="center" wrapText="1"/>
    </xf>
    <xf numFmtId="0" fontId="8" fillId="2" borderId="13" xfId="1" applyFont="1" applyBorder="1" applyAlignment="1">
      <alignment horizontal="center" vertical="center" wrapText="1"/>
    </xf>
    <xf numFmtId="0" fontId="8" fillId="2" borderId="2" xfId="1" applyFont="1" applyBorder="1" applyAlignment="1">
      <alignment horizontal="center" vertical="center" wrapText="1"/>
    </xf>
    <xf numFmtId="0" fontId="8" fillId="2" borderId="17" xfId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left" vertical="center"/>
    </xf>
    <xf numFmtId="14" fontId="4" fillId="0" borderId="6" xfId="0" applyNumberFormat="1" applyFont="1" applyBorder="1" applyAlignment="1">
      <alignment horizontal="left" vertical="center"/>
    </xf>
    <xf numFmtId="14" fontId="4" fillId="0" borderId="18" xfId="0" applyNumberFormat="1" applyFont="1" applyBorder="1" applyAlignment="1">
      <alignment horizontal="left" vertical="center"/>
    </xf>
    <xf numFmtId="0" fontId="8" fillId="2" borderId="45" xfId="1" applyFont="1" applyBorder="1" applyAlignment="1">
      <alignment horizontal="left" vertical="center"/>
    </xf>
    <xf numFmtId="0" fontId="8" fillId="2" borderId="46" xfId="1" applyFont="1" applyBorder="1" applyAlignment="1">
      <alignment horizontal="left" vertical="center"/>
    </xf>
    <xf numFmtId="0" fontId="8" fillId="2" borderId="47" xfId="1" applyFont="1" applyBorder="1" applyAlignment="1">
      <alignment horizontal="left" vertical="center"/>
    </xf>
    <xf numFmtId="0" fontId="9" fillId="2" borderId="43" xfId="1" applyBorder="1" applyAlignment="1">
      <alignment horizontal="center" vertical="center"/>
    </xf>
    <xf numFmtId="0" fontId="9" fillId="2" borderId="44" xfId="1" applyBorder="1" applyAlignment="1">
      <alignment horizontal="center" vertical="center"/>
    </xf>
    <xf numFmtId="0" fontId="2" fillId="0" borderId="36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9" fillId="2" borderId="15" xfId="1" applyBorder="1" applyAlignment="1">
      <alignment horizontal="center" vertical="center"/>
    </xf>
    <xf numFmtId="0" fontId="9" fillId="2" borderId="15" xfId="1" applyBorder="1" applyAlignment="1">
      <alignment horizontal="center" vertical="center" wrapText="1"/>
    </xf>
    <xf numFmtId="0" fontId="9" fillId="2" borderId="0" xfId="1" applyAlignment="1">
      <alignment horizontal="center" vertical="center"/>
    </xf>
    <xf numFmtId="0" fontId="9" fillId="2" borderId="28" xfId="1" applyBorder="1" applyAlignment="1">
      <alignment horizontal="center" vertical="center"/>
    </xf>
    <xf numFmtId="0" fontId="9" fillId="2" borderId="28" xfId="1" applyBorder="1" applyAlignment="1">
      <alignment horizontal="center" vertical="center" wrapText="1"/>
    </xf>
    <xf numFmtId="0" fontId="9" fillId="2" borderId="28" xfId="1" applyBorder="1" applyAlignment="1">
      <alignment wrapText="1"/>
    </xf>
    <xf numFmtId="0" fontId="9" fillId="2" borderId="29" xfId="1" applyBorder="1" applyAlignment="1">
      <alignment wrapText="1"/>
    </xf>
    <xf numFmtId="0" fontId="9" fillId="2" borderId="14" xfId="1" applyBorder="1" applyAlignment="1">
      <alignment wrapText="1"/>
    </xf>
    <xf numFmtId="0" fontId="9" fillId="2" borderId="28" xfId="1" applyBorder="1"/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0" fillId="0" borderId="26" xfId="0" applyNumberFormat="1" applyBorder="1" applyAlignment="1">
      <alignment horizontal="left" vertical="center" wrapText="1"/>
    </xf>
    <xf numFmtId="49" fontId="0" fillId="0" borderId="20" xfId="0" applyNumberFormat="1" applyBorder="1" applyAlignment="1">
      <alignment horizontal="left" vertical="center" wrapText="1"/>
    </xf>
    <xf numFmtId="0" fontId="0" fillId="3" borderId="33" xfId="0" applyFill="1" applyBorder="1"/>
    <xf numFmtId="14" fontId="4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14" fontId="4" fillId="0" borderId="21" xfId="0" applyNumberFormat="1" applyFon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1" fillId="0" borderId="8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8" fillId="2" borderId="31" xfId="1" applyFont="1" applyBorder="1" applyAlignment="1">
      <alignment horizontal="center" vertical="center" wrapText="1"/>
    </xf>
    <xf numFmtId="0" fontId="8" fillId="2" borderId="0" xfId="1" applyFont="1"/>
    <xf numFmtId="0" fontId="8" fillId="2" borderId="23" xfId="1" applyFont="1" applyBorder="1" applyAlignment="1">
      <alignment horizontal="center" vertical="center"/>
    </xf>
    <xf numFmtId="0" fontId="8" fillId="2" borderId="15" xfId="1" applyFont="1" applyBorder="1" applyAlignment="1">
      <alignment horizontal="center" vertical="center"/>
    </xf>
    <xf numFmtId="0" fontId="8" fillId="2" borderId="15" xfId="1" applyFont="1" applyBorder="1" applyAlignment="1">
      <alignment horizontal="center" vertical="center" wrapText="1"/>
    </xf>
    <xf numFmtId="49" fontId="8" fillId="2" borderId="16" xfId="1" applyNumberFormat="1" applyFont="1" applyBorder="1" applyAlignment="1">
      <alignment horizontal="center" vertical="center" wrapText="1"/>
    </xf>
    <xf numFmtId="0" fontId="8" fillId="2" borderId="0" xfId="1" applyFont="1" applyAlignment="1">
      <alignment horizontal="center" vertical="center"/>
    </xf>
    <xf numFmtId="49" fontId="8" fillId="2" borderId="1" xfId="1" applyNumberFormat="1" applyFont="1" applyBorder="1" applyAlignment="1">
      <alignment horizontal="center" vertical="center" wrapText="1"/>
    </xf>
    <xf numFmtId="14" fontId="8" fillId="2" borderId="14" xfId="1" applyNumberFormat="1" applyFont="1" applyBorder="1" applyAlignment="1">
      <alignment horizontal="center" vertical="center" wrapText="1"/>
    </xf>
    <xf numFmtId="0" fontId="8" fillId="2" borderId="14" xfId="1" applyFont="1" applyBorder="1" applyAlignment="1">
      <alignment horizontal="center" vertical="center" wrapText="1"/>
    </xf>
    <xf numFmtId="0" fontId="8" fillId="2" borderId="12" xfId="1" applyFont="1" applyBorder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8" fillId="2" borderId="52" xfId="1" applyFont="1" applyBorder="1" applyAlignment="1">
      <alignment horizontal="center" vertical="center" wrapText="1"/>
    </xf>
    <xf numFmtId="0" fontId="0" fillId="0" borderId="53" xfId="0" applyBorder="1" applyAlignment="1">
      <alignment wrapText="1"/>
    </xf>
    <xf numFmtId="0" fontId="0" fillId="0" borderId="54" xfId="0" applyBorder="1" applyAlignment="1">
      <alignment wrapText="1"/>
    </xf>
    <xf numFmtId="0" fontId="8" fillId="4" borderId="0" xfId="1" applyFont="1" applyFill="1" applyBorder="1" applyAlignment="1">
      <alignment horizontal="center" vertical="center" wrapText="1"/>
    </xf>
    <xf numFmtId="0" fontId="0" fillId="4" borderId="0" xfId="0" applyFill="1" applyBorder="1"/>
    <xf numFmtId="0" fontId="8" fillId="2" borderId="55" xfId="1" applyFont="1" applyBorder="1" applyAlignment="1">
      <alignment horizontal="center" vertical="center" wrapText="1"/>
    </xf>
    <xf numFmtId="0" fontId="0" fillId="0" borderId="35" xfId="0" applyBorder="1" applyAlignment="1">
      <alignment wrapText="1"/>
    </xf>
    <xf numFmtId="14" fontId="0" fillId="0" borderId="32" xfId="0" applyNumberFormat="1" applyBorder="1" applyAlignment="1">
      <alignment horizontal="left" wrapText="1"/>
    </xf>
    <xf numFmtId="14" fontId="0" fillId="0" borderId="33" xfId="0" applyNumberFormat="1" applyBorder="1" applyAlignment="1">
      <alignment horizontal="left" wrapText="1"/>
    </xf>
    <xf numFmtId="0" fontId="0" fillId="0" borderId="34" xfId="0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0" fillId="0" borderId="0" xfId="0" pivotButton="1" applyAlignment="1">
      <alignment horizontal="center" vertical="center"/>
    </xf>
    <xf numFmtId="175" fontId="0" fillId="0" borderId="35" xfId="0" applyNumberFormat="1" applyBorder="1" applyAlignment="1">
      <alignment wrapText="1"/>
    </xf>
    <xf numFmtId="1" fontId="0" fillId="0" borderId="35" xfId="0" applyNumberFormat="1" applyBorder="1" applyAlignment="1">
      <alignment wrapText="1"/>
    </xf>
  </cellXfs>
  <cellStyles count="2">
    <cellStyle name="Cor1" xfId="1" builtinId="29"/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theme" Target="theme/theme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[QAPlan_OrangeHRM-PIM_.xlsx]Timeline!Tabela Dinâmica4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Timeline!$G$1:$G$2</c:f>
              <c:strCache>
                <c:ptCount val="1"/>
                <c:pt idx="0">
                  <c:v>High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Timeline!$F$3:$F$8</c:f>
              <c:strCache>
                <c:ptCount val="5"/>
                <c:pt idx="0">
                  <c:v>Custom Fields</c:v>
                </c:pt>
                <c:pt idx="1">
                  <c:v>Data Import</c:v>
                </c:pt>
                <c:pt idx="2">
                  <c:v>Employee List</c:v>
                </c:pt>
                <c:pt idx="3">
                  <c:v>Optional Fields</c:v>
                </c:pt>
                <c:pt idx="4">
                  <c:v>Reports</c:v>
                </c:pt>
              </c:strCache>
            </c:strRef>
          </c:cat>
          <c:val>
            <c:numRef>
              <c:f>Timeline!$G$3:$G$8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2-46CE-9FC4-32CD450B94A8}"/>
            </c:ext>
          </c:extLst>
        </c:ser>
        <c:ser>
          <c:idx val="1"/>
          <c:order val="1"/>
          <c:tx>
            <c:strRef>
              <c:f>Timeline!$H$1:$H$2</c:f>
              <c:strCache>
                <c:ptCount val="1"/>
                <c:pt idx="0">
                  <c:v>Low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Timeline!$F$3:$F$8</c:f>
              <c:strCache>
                <c:ptCount val="5"/>
                <c:pt idx="0">
                  <c:v>Custom Fields</c:v>
                </c:pt>
                <c:pt idx="1">
                  <c:v>Data Import</c:v>
                </c:pt>
                <c:pt idx="2">
                  <c:v>Employee List</c:v>
                </c:pt>
                <c:pt idx="3">
                  <c:v>Optional Fields</c:v>
                </c:pt>
                <c:pt idx="4">
                  <c:v>Reports</c:v>
                </c:pt>
              </c:strCache>
            </c:strRef>
          </c:cat>
          <c:val>
            <c:numRef>
              <c:f>Timeline!$H$3:$H$8</c:f>
              <c:numCache>
                <c:formatCode>General</c:formatCode>
                <c:ptCount val="5"/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12-46CE-9FC4-32CD450B94A8}"/>
            </c:ext>
          </c:extLst>
        </c:ser>
        <c:ser>
          <c:idx val="2"/>
          <c:order val="2"/>
          <c:tx>
            <c:strRef>
              <c:f>Timeline!$I$1:$I$2</c:f>
              <c:strCache>
                <c:ptCount val="1"/>
                <c:pt idx="0">
                  <c:v>Medium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Timeline!$F$3:$F$8</c:f>
              <c:strCache>
                <c:ptCount val="5"/>
                <c:pt idx="0">
                  <c:v>Custom Fields</c:v>
                </c:pt>
                <c:pt idx="1">
                  <c:v>Data Import</c:v>
                </c:pt>
                <c:pt idx="2">
                  <c:v>Employee List</c:v>
                </c:pt>
                <c:pt idx="3">
                  <c:v>Optional Fields</c:v>
                </c:pt>
                <c:pt idx="4">
                  <c:v>Reports</c:v>
                </c:pt>
              </c:strCache>
            </c:strRef>
          </c:cat>
          <c:val>
            <c:numRef>
              <c:f>Timeline!$I$3:$I$8</c:f>
              <c:numCache>
                <c:formatCode>General</c:formatCode>
                <c:ptCount val="5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12-46CE-9FC4-32CD450B9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43202960"/>
        <c:axId val="543200560"/>
        <c:axId val="0"/>
      </c:bar3DChart>
      <c:catAx>
        <c:axId val="54320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200560"/>
        <c:crosses val="autoZero"/>
        <c:auto val="1"/>
        <c:lblAlgn val="ctr"/>
        <c:lblOffset val="100"/>
        <c:noMultiLvlLbl val="0"/>
      </c:catAx>
      <c:valAx>
        <c:axId val="54320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2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1D48B6-2566-42C5-893C-5240E46F2A93}">
  <sheetPr>
    <tabColor rgb="FFFFC000"/>
  </sheetPr>
  <sheetViews>
    <sheetView zoomScale="9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725" cy="607087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9C546D-7AEC-180F-FEF2-382E0E4105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bez" refreshedDate="46078.577163425929" createdVersion="8" refreshedVersion="8" minRefreshableVersion="3" recordCount="23" xr:uid="{CF9BF033-437E-4226-958A-6B15D67E67EC}">
  <cacheSource type="worksheet">
    <worksheetSource ref="A1:E24" sheet="Low Test Design V1.0"/>
  </cacheSource>
  <cacheFields count="5">
    <cacheField name="App" numFmtId="0">
      <sharedItems/>
    </cacheField>
    <cacheField name="Flow" numFmtId="0">
      <sharedItems count="5">
        <s v="Employee List"/>
        <s v="Optional Fields"/>
        <s v="Custom Fields"/>
        <s v="Reports"/>
        <s v="Data Import"/>
      </sharedItems>
    </cacheField>
    <cacheField name="Priority" numFmtId="0">
      <sharedItems count="3">
        <s v="High"/>
        <s v="Low"/>
        <s v="Medium"/>
      </sharedItems>
    </cacheField>
    <cacheField name="Test Scenario" numFmtId="0">
      <sharedItems count="23">
        <s v="TC01_Verify if after creating a employee with login details and set Status as Enabled, then system allow user to login"/>
        <s v="TC02_Verify if after creating a employee with login details and set Status as Disabled, then system shouldn't allow user to login"/>
        <s v="TC03_Verify system allow to create a new employee"/>
        <s v="TC04_Verify Admin user can update a employee register and save new contact details successfully"/>
        <s v="TC05_Verify Admin user can remove a employee register successfully"/>
        <s v="TC06_1 Deprecated Field_Verify Admin user can Activate and Deactivate Optional Fields and system should allow Admin user to update the Optional fields on a employee register successfully"/>
        <s v="TC07_1 Country Specific Information_Verify Admin user can Activate and Deactivate Optional Fields and system should allow Admin user to update the Optional fields on a employee register successfully"/>
        <s v="TC08_1 Deprecated Fields &amp; 1 Country Specific Information_Verify Admin user can Activate and Deactivate Optional Fields and system should allow Admin user to update the Optional fields on a employee register successfully"/>
        <s v="TC09_All fields (Deprecated &amp; Country Specific Information)_Verify Admin user can Activate and Deactivate Optional Fields and system should allow Admin user to update the Optional fields on a employee register successfully"/>
        <s v="TC10_Text or Number Custom Field_Verify Admin user can create a Custom Fields and system should allow Admin user to update the new Custom fields on a employee register successfully"/>
        <s v="TC11_Drop Down Custom Field_Verify Admin user can create a Custom Fields and system should allow Admin user to update the new Custom fields on a employee register successfully"/>
        <s v="TC12_Text orNumber Custom Field_Verify Admin user can update a Custom Fields successfully and previous data on the employee register shouldn't be affecte by the update "/>
        <s v="TC13_Drop Down Custom Field_Verify Admin user can update a Custom Fields successfully and previous data on the employee register shouldn't be affecte by the update "/>
        <s v="TC14_Text or Number Custom Fields_Verify Admin user can delete a Custom Fields successfully and previous data on the employee register should be deleted as well "/>
        <s v="TC15_Drop Down Custom Fields_Verify Admin user can delete a Custom Fields successfully and previous data on the employee register should be deleted as well "/>
        <s v="TC16_Verify Admin user can update a Custom Fields successfully form Text or Number to Drop Down and previous data on the employee register shouldn't be affecte by the update?"/>
        <s v="TC17_Verify Admin user can create a Report successfully"/>
        <s v="TC18_Verify Admin user can edit a Report successfully"/>
        <s v="TC19_Verify Admin user can delete a Report successfully"/>
        <s v="TC20_Verify Admin user can upload a csv file to import new employee register successfully"/>
        <s v="TC21_Verify if Admin user upload a csv file with missing first name/last name for new employee register then system present a error message"/>
        <s v="TC22_Verify if Admin user upload a csv file with invalid date type format on new employee register then system present a error message"/>
        <s v="TC23_Verify if Admin user upload a csv file with invalid gender value on new employee register then system present a error message"/>
      </sharedItems>
    </cacheField>
    <cacheField name="Requisite" numFmtId="0">
      <sharedItems count="5">
        <s v="Access to OrangeHRM_x000a_User with Admin profile_x000a_Valid data for new employee creation "/>
        <s v="Access to OrangeHRM_x000a_User with Admin profile_x000a_Availiable employee register "/>
        <s v="Access to OrangeHRM_x000a_User with Admin profile_x000a_Availiable employee register _x000a_Availiable custom field"/>
        <s v="Access to OrangeHRM_x000a_User with Admin profile_x000a_Availiable employee register _x000a_Availiable Report register"/>
        <s v="Access to OrangeHRM_x000a_User with Admin profi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OrangeHRM"/>
    <x v="0"/>
    <x v="0"/>
    <x v="0"/>
    <x v="0"/>
  </r>
  <r>
    <s v="OrangeHRM"/>
    <x v="0"/>
    <x v="0"/>
    <x v="1"/>
    <x v="0"/>
  </r>
  <r>
    <s v="OrangeHRM"/>
    <x v="0"/>
    <x v="0"/>
    <x v="2"/>
    <x v="0"/>
  </r>
  <r>
    <s v="OrangeHRM"/>
    <x v="0"/>
    <x v="0"/>
    <x v="3"/>
    <x v="1"/>
  </r>
  <r>
    <s v="OrangeHRM"/>
    <x v="0"/>
    <x v="0"/>
    <x v="4"/>
    <x v="1"/>
  </r>
  <r>
    <s v="OrangeHRM"/>
    <x v="1"/>
    <x v="1"/>
    <x v="5"/>
    <x v="1"/>
  </r>
  <r>
    <s v="OrangeHRM"/>
    <x v="1"/>
    <x v="1"/>
    <x v="6"/>
    <x v="1"/>
  </r>
  <r>
    <s v="OrangeHRM"/>
    <x v="1"/>
    <x v="1"/>
    <x v="7"/>
    <x v="1"/>
  </r>
  <r>
    <s v="OrangeHRM"/>
    <x v="1"/>
    <x v="1"/>
    <x v="8"/>
    <x v="1"/>
  </r>
  <r>
    <s v="OrangeHRM"/>
    <x v="2"/>
    <x v="2"/>
    <x v="9"/>
    <x v="1"/>
  </r>
  <r>
    <s v="OrangeHRM"/>
    <x v="2"/>
    <x v="2"/>
    <x v="10"/>
    <x v="1"/>
  </r>
  <r>
    <s v="OrangeHRM"/>
    <x v="2"/>
    <x v="2"/>
    <x v="11"/>
    <x v="2"/>
  </r>
  <r>
    <s v="OrangeHRM"/>
    <x v="2"/>
    <x v="2"/>
    <x v="12"/>
    <x v="2"/>
  </r>
  <r>
    <s v="OrangeHRM"/>
    <x v="2"/>
    <x v="2"/>
    <x v="13"/>
    <x v="2"/>
  </r>
  <r>
    <s v="OrangeHRM"/>
    <x v="2"/>
    <x v="2"/>
    <x v="14"/>
    <x v="2"/>
  </r>
  <r>
    <s v="OrangeHRM"/>
    <x v="2"/>
    <x v="0"/>
    <x v="15"/>
    <x v="2"/>
  </r>
  <r>
    <s v="OrangeHRM"/>
    <x v="3"/>
    <x v="0"/>
    <x v="16"/>
    <x v="1"/>
  </r>
  <r>
    <s v="OrangeHRM"/>
    <x v="3"/>
    <x v="0"/>
    <x v="17"/>
    <x v="3"/>
  </r>
  <r>
    <s v="OrangeHRM"/>
    <x v="3"/>
    <x v="0"/>
    <x v="18"/>
    <x v="3"/>
  </r>
  <r>
    <s v="OrangeHRM"/>
    <x v="4"/>
    <x v="0"/>
    <x v="19"/>
    <x v="4"/>
  </r>
  <r>
    <s v="OrangeHRM"/>
    <x v="4"/>
    <x v="0"/>
    <x v="20"/>
    <x v="4"/>
  </r>
  <r>
    <s v="OrangeHRM"/>
    <x v="4"/>
    <x v="0"/>
    <x v="21"/>
    <x v="4"/>
  </r>
  <r>
    <s v="OrangeHRM"/>
    <x v="4"/>
    <x v="0"/>
    <x v="2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3CF8F-A20B-453B-B450-B603B813E7DC}" name="Tabela Dinâmica4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F1:J8" firstHeaderRow="1" firstDataRow="2" firstDataCol="1"/>
  <pivotFields count="5">
    <pivotField showAll="0"/>
    <pivotField axis="axisRow" showAll="0">
      <items count="6">
        <item x="2"/>
        <item x="4"/>
        <item x="0"/>
        <item x="1"/>
        <item x="3"/>
        <item t="default"/>
      </items>
    </pivotField>
    <pivotField axis="axisCol" showAll="0" includeNewItemsInFilter="1">
      <items count="4">
        <item x="0"/>
        <item x="1"/>
        <item x="2"/>
        <item t="default"/>
      </items>
    </pivotField>
    <pivotField dataField="1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ntagem de Test Scenario" fld="3" subtotal="count" baseField="0" baseItem="0"/>
  </dataFields>
  <formats count="16">
    <format dxfId="28">
      <pivotArea type="origin" dataOnly="0" labelOnly="1" outline="0" fieldPosition="0"/>
    </format>
    <format dxfId="29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31">
      <pivotArea dataOnly="0" labelOnly="1" grandRow="1" outline="0" fieldPosition="0"/>
    </format>
    <format dxfId="27">
      <pivotArea outline="0" collapsedLevelsAreSubtotals="1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2" type="button" dataOnly="0" labelOnly="1" outline="0" axis="axisCol" fieldPosition="0"/>
    </format>
    <format dxfId="23">
      <pivotArea type="origin" dataOnly="0" labelOnly="1" outline="0" fieldPosition="0"/>
    </format>
    <format dxfId="22">
      <pivotArea field="2" type="button" dataOnly="0" labelOnly="1" outline="0" axis="axisCol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Col="1" outline="0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2" count="0"/>
        </references>
      </pivotArea>
    </format>
    <format dxfId="16">
      <pivotArea dataOnly="0" labelOnly="1" grandCol="1" outline="0" fieldPosition="0"/>
    </format>
  </formats>
  <chartFormats count="3"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32E68D-93F9-4C58-910E-04AC57DFB469}">
  <we:reference id="wa200007447" version="1.0.0.0" store="pt-BR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E19"/>
  <sheetViews>
    <sheetView tabSelected="1" workbookViewId="0"/>
  </sheetViews>
  <sheetFormatPr defaultRowHeight="15" x14ac:dyDescent="0.25"/>
  <cols>
    <col min="2" max="2" width="11.5703125" bestFit="1" customWidth="1"/>
    <col min="3" max="3" width="11.140625" customWidth="1"/>
    <col min="4" max="4" width="31.7109375" customWidth="1"/>
    <col min="5" max="5" width="58.85546875" customWidth="1"/>
  </cols>
  <sheetData>
    <row r="1" spans="2:5" ht="15.75" thickBot="1" x14ac:dyDescent="0.3"/>
    <row r="2" spans="2:5" x14ac:dyDescent="0.25">
      <c r="B2" s="40" t="s">
        <v>0</v>
      </c>
      <c r="C2" s="41"/>
      <c r="D2" s="41"/>
      <c r="E2" s="42"/>
    </row>
    <row r="3" spans="2:5" ht="15.75" thickBot="1" x14ac:dyDescent="0.3">
      <c r="B3" s="43"/>
      <c r="C3" s="44"/>
      <c r="D3" s="44"/>
      <c r="E3" s="45"/>
    </row>
    <row r="4" spans="2:5" ht="16.5" thickBot="1" x14ac:dyDescent="0.3">
      <c r="B4" s="27" t="s">
        <v>66</v>
      </c>
      <c r="C4" s="46">
        <v>46022</v>
      </c>
      <c r="D4" s="47"/>
      <c r="E4" s="48"/>
    </row>
    <row r="5" spans="2:5" ht="15.75" x14ac:dyDescent="0.25">
      <c r="B5" s="28" t="s">
        <v>1</v>
      </c>
      <c r="C5" s="29" t="s">
        <v>2</v>
      </c>
      <c r="D5" s="29" t="s">
        <v>3</v>
      </c>
      <c r="E5" s="30" t="s">
        <v>4</v>
      </c>
    </row>
    <row r="6" spans="2:5" ht="15.75" x14ac:dyDescent="0.25">
      <c r="B6" s="31">
        <v>46078</v>
      </c>
      <c r="C6" s="24" t="s">
        <v>5</v>
      </c>
      <c r="D6" s="25" t="s">
        <v>43</v>
      </c>
      <c r="E6" s="32" t="s">
        <v>63</v>
      </c>
    </row>
    <row r="7" spans="2:5" ht="15.75" x14ac:dyDescent="0.25">
      <c r="B7" s="33"/>
      <c r="C7" s="24"/>
      <c r="D7" s="26"/>
      <c r="E7" s="34"/>
    </row>
    <row r="8" spans="2:5" ht="15.75" x14ac:dyDescent="0.25">
      <c r="B8" s="33"/>
      <c r="C8" s="24"/>
      <c r="D8" s="26"/>
      <c r="E8" s="34"/>
    </row>
    <row r="9" spans="2:5" ht="15.75" x14ac:dyDescent="0.25">
      <c r="B9" s="33"/>
      <c r="C9" s="24"/>
      <c r="D9" s="26"/>
      <c r="E9" s="34"/>
    </row>
    <row r="10" spans="2:5" ht="15.75" x14ac:dyDescent="0.25">
      <c r="B10" s="33"/>
      <c r="C10" s="24"/>
      <c r="D10" s="26"/>
      <c r="E10" s="34"/>
    </row>
    <row r="11" spans="2:5" ht="16.5" thickBot="1" x14ac:dyDescent="0.3">
      <c r="B11" s="35"/>
      <c r="C11" s="36"/>
      <c r="D11" s="37"/>
      <c r="E11" s="38"/>
    </row>
    <row r="12" spans="2:5" ht="16.5" thickBot="1" x14ac:dyDescent="0.3">
      <c r="B12" s="49" t="s">
        <v>6</v>
      </c>
      <c r="C12" s="50"/>
      <c r="D12" s="50"/>
      <c r="E12" s="51"/>
    </row>
    <row r="13" spans="2:5" ht="15.75" x14ac:dyDescent="0.25">
      <c r="B13" s="39" t="s">
        <v>7</v>
      </c>
      <c r="C13" s="52" t="s">
        <v>4</v>
      </c>
      <c r="D13" s="52"/>
      <c r="E13" s="53"/>
    </row>
    <row r="14" spans="2:5" ht="15.75" x14ac:dyDescent="0.25">
      <c r="B14" s="22">
        <v>1</v>
      </c>
      <c r="C14" s="54" t="s">
        <v>67</v>
      </c>
      <c r="D14" s="55"/>
      <c r="E14" s="56"/>
    </row>
    <row r="15" spans="2:5" ht="15.75" x14ac:dyDescent="0.25">
      <c r="B15" s="22">
        <v>2</v>
      </c>
      <c r="C15" s="57"/>
      <c r="D15" s="57"/>
      <c r="E15" s="58"/>
    </row>
    <row r="16" spans="2:5" ht="15.75" x14ac:dyDescent="0.25">
      <c r="B16" s="22">
        <v>3</v>
      </c>
      <c r="C16" s="57"/>
      <c r="D16" s="57"/>
      <c r="E16" s="58"/>
    </row>
    <row r="17" spans="2:5" ht="15.75" x14ac:dyDescent="0.25">
      <c r="B17" s="22">
        <v>4</v>
      </c>
      <c r="C17" s="57"/>
      <c r="D17" s="57"/>
      <c r="E17" s="58"/>
    </row>
    <row r="18" spans="2:5" ht="15.75" x14ac:dyDescent="0.25">
      <c r="B18" s="22">
        <v>5</v>
      </c>
      <c r="C18" s="57"/>
      <c r="D18" s="57"/>
      <c r="E18" s="58"/>
    </row>
    <row r="19" spans="2:5" ht="16.5" thickBot="1" x14ac:dyDescent="0.3">
      <c r="B19" s="23">
        <v>6</v>
      </c>
      <c r="C19" s="59"/>
      <c r="D19" s="59"/>
      <c r="E19" s="60"/>
    </row>
  </sheetData>
  <mergeCells count="10">
    <mergeCell ref="C15:E15"/>
    <mergeCell ref="C16:E16"/>
    <mergeCell ref="C17:E17"/>
    <mergeCell ref="C18:E18"/>
    <mergeCell ref="C19:E19"/>
    <mergeCell ref="B2:E3"/>
    <mergeCell ref="C4:E4"/>
    <mergeCell ref="B12:E12"/>
    <mergeCell ref="C13:E13"/>
    <mergeCell ref="C14:E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D605-05BF-4A07-ABCA-5B89C339B5A8}">
  <sheetPr>
    <tabColor rgb="FFFFC000"/>
  </sheetPr>
  <dimension ref="A1:M20"/>
  <sheetViews>
    <sheetView topLeftCell="B1" workbookViewId="0">
      <selection activeCell="M5" sqref="M5"/>
    </sheetView>
  </sheetViews>
  <sheetFormatPr defaultRowHeight="15" x14ac:dyDescent="0.25"/>
  <cols>
    <col min="1" max="1" width="17.5703125" style="12" customWidth="1"/>
    <col min="2" max="2" width="13.140625" style="21" customWidth="1"/>
    <col min="3" max="3" width="15.5703125" style="21" customWidth="1"/>
    <col min="4" max="4" width="14.85546875" style="109" customWidth="1"/>
    <col min="5" max="5" width="9.140625" style="112"/>
    <col min="6" max="6" width="26.140625" style="110" bestFit="1" customWidth="1"/>
    <col min="7" max="7" width="22.42578125" style="12" bestFit="1" customWidth="1"/>
    <col min="8" max="8" width="4.5703125" style="12" bestFit="1" customWidth="1"/>
    <col min="9" max="9" width="8.28515625" style="12" bestFit="1" customWidth="1"/>
    <col min="10" max="10" width="10.7109375" style="109" bestFit="1" customWidth="1"/>
    <col min="11" max="11" width="9.140625" style="112"/>
    <col min="12" max="13" width="24" style="110" customWidth="1"/>
  </cols>
  <sheetData>
    <row r="1" spans="1:13" s="96" customFormat="1" ht="48" thickBot="1" x14ac:dyDescent="0.3">
      <c r="A1" s="96" t="s">
        <v>35</v>
      </c>
      <c r="B1" s="96" t="s">
        <v>52</v>
      </c>
      <c r="C1" s="96" t="s">
        <v>58</v>
      </c>
      <c r="D1" s="108" t="s">
        <v>59</v>
      </c>
      <c r="E1" s="111"/>
      <c r="F1" s="119" t="s">
        <v>180</v>
      </c>
      <c r="G1" s="120" t="s">
        <v>178</v>
      </c>
      <c r="H1"/>
      <c r="I1"/>
      <c r="J1"/>
      <c r="K1" s="111"/>
      <c r="L1" s="113" t="s">
        <v>183</v>
      </c>
      <c r="M1" s="113" t="s">
        <v>182</v>
      </c>
    </row>
    <row r="2" spans="1:13" x14ac:dyDescent="0.25">
      <c r="A2" s="20" t="s">
        <v>46</v>
      </c>
      <c r="B2" s="115">
        <v>46069</v>
      </c>
      <c r="C2" s="115">
        <v>46087</v>
      </c>
      <c r="D2" s="117">
        <f>NETWORKDAYS(B2,C2)</f>
        <v>15</v>
      </c>
      <c r="F2" s="119" t="s">
        <v>181</v>
      </c>
      <c r="G2" s="2" t="s">
        <v>14</v>
      </c>
      <c r="H2" s="2" t="s">
        <v>21</v>
      </c>
      <c r="I2" s="2" t="s">
        <v>18</v>
      </c>
      <c r="J2" s="2" t="s">
        <v>179</v>
      </c>
      <c r="L2" s="114" t="s">
        <v>14</v>
      </c>
      <c r="M2" s="122">
        <f>GETPIVOTDATA("Test Scenario",$F$1,"Priority","High")/$D$2</f>
        <v>0.8666666666666667</v>
      </c>
    </row>
    <row r="3" spans="1:13" x14ac:dyDescent="0.25">
      <c r="A3" s="21" t="s">
        <v>121</v>
      </c>
      <c r="B3" s="116">
        <v>46067</v>
      </c>
      <c r="C3" s="115">
        <v>46087</v>
      </c>
      <c r="D3" s="117">
        <f t="shared" ref="D3:D4" si="0">NETWORKDAYS(B3,C3)</f>
        <v>15</v>
      </c>
      <c r="F3" s="107" t="s">
        <v>132</v>
      </c>
      <c r="G3" s="118">
        <v>1</v>
      </c>
      <c r="H3" s="118"/>
      <c r="I3" s="118">
        <v>6</v>
      </c>
      <c r="J3" s="118">
        <v>7</v>
      </c>
      <c r="L3" s="110" t="s">
        <v>18</v>
      </c>
      <c r="M3" s="121">
        <f>GETPIVOTDATA("Test Scenario",$F$1,"Priority","Medium")/$D$2</f>
        <v>0.4</v>
      </c>
    </row>
    <row r="4" spans="1:13" x14ac:dyDescent="0.25">
      <c r="A4" s="21" t="s">
        <v>122</v>
      </c>
      <c r="B4" s="116">
        <v>46069</v>
      </c>
      <c r="C4" s="115">
        <v>46087</v>
      </c>
      <c r="D4" s="117">
        <f t="shared" si="0"/>
        <v>15</v>
      </c>
      <c r="F4" s="107" t="s">
        <v>133</v>
      </c>
      <c r="G4" s="118">
        <v>4</v>
      </c>
      <c r="H4" s="118"/>
      <c r="I4" s="118"/>
      <c r="J4" s="118">
        <v>4</v>
      </c>
      <c r="L4" s="110" t="s">
        <v>21</v>
      </c>
      <c r="M4" s="121">
        <f>GETPIVOTDATA("Test Scenario",$F$1,"Priority","Low")/$D$2</f>
        <v>0.26666666666666666</v>
      </c>
    </row>
    <row r="5" spans="1:13" x14ac:dyDescent="0.25">
      <c r="A5" s="21"/>
      <c r="F5" s="107" t="s">
        <v>127</v>
      </c>
      <c r="G5" s="118">
        <v>5</v>
      </c>
      <c r="H5" s="118"/>
      <c r="I5" s="118"/>
      <c r="J5" s="118">
        <v>5</v>
      </c>
      <c r="L5" s="110" t="s">
        <v>57</v>
      </c>
      <c r="M5" s="122">
        <f>GETPIVOTDATA("Test Scenario",$F$1)/$D$2</f>
        <v>1.5333333333333334</v>
      </c>
    </row>
    <row r="6" spans="1:13" x14ac:dyDescent="0.25">
      <c r="A6" s="21"/>
      <c r="F6" s="107" t="s">
        <v>131</v>
      </c>
      <c r="G6" s="118"/>
      <c r="H6" s="118">
        <v>4</v>
      </c>
      <c r="I6" s="118"/>
      <c r="J6" s="118">
        <v>4</v>
      </c>
    </row>
    <row r="7" spans="1:13" x14ac:dyDescent="0.25">
      <c r="A7" s="21"/>
      <c r="F7" s="107" t="s">
        <v>129</v>
      </c>
      <c r="G7" s="118">
        <v>3</v>
      </c>
      <c r="H7" s="118"/>
      <c r="I7" s="118"/>
      <c r="J7" s="118">
        <v>3</v>
      </c>
    </row>
    <row r="8" spans="1:13" x14ac:dyDescent="0.25">
      <c r="A8" s="21"/>
      <c r="F8" s="107" t="s">
        <v>179</v>
      </c>
      <c r="G8" s="118">
        <v>13</v>
      </c>
      <c r="H8" s="118">
        <v>4</v>
      </c>
      <c r="I8" s="118">
        <v>6</v>
      </c>
      <c r="J8" s="118">
        <v>23</v>
      </c>
    </row>
    <row r="9" spans="1:13" x14ac:dyDescent="0.25">
      <c r="A9" s="21"/>
    </row>
    <row r="10" spans="1:13" x14ac:dyDescent="0.25">
      <c r="A10" s="21"/>
    </row>
    <row r="11" spans="1:13" x14ac:dyDescent="0.25">
      <c r="A11" s="21"/>
    </row>
    <row r="12" spans="1:13" x14ac:dyDescent="0.25">
      <c r="A12" s="21"/>
    </row>
    <row r="13" spans="1:13" x14ac:dyDescent="0.25">
      <c r="A13" s="21"/>
    </row>
    <row r="14" spans="1:13" x14ac:dyDescent="0.25">
      <c r="A14" s="21"/>
    </row>
    <row r="15" spans="1:13" x14ac:dyDescent="0.25">
      <c r="A15" s="21"/>
    </row>
    <row r="16" spans="1:13" x14ac:dyDescent="0.25">
      <c r="A16" s="21"/>
    </row>
    <row r="17" spans="1:1" x14ac:dyDescent="0.25">
      <c r="A17" s="21"/>
    </row>
    <row r="18" spans="1:1" x14ac:dyDescent="0.25">
      <c r="A18" s="21"/>
    </row>
    <row r="19" spans="1:1" x14ac:dyDescent="0.25">
      <c r="A19" s="21"/>
    </row>
    <row r="20" spans="1:1" x14ac:dyDescent="0.25">
      <c r="A20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C121-95FF-4D53-9912-C6AFC05299FA}">
  <sheetPr>
    <tabColor rgb="FFFF0000"/>
  </sheetPr>
  <dimension ref="A1:D5"/>
  <sheetViews>
    <sheetView workbookViewId="0"/>
  </sheetViews>
  <sheetFormatPr defaultRowHeight="15" x14ac:dyDescent="0.25"/>
  <cols>
    <col min="1" max="1" width="59.42578125" style="12" customWidth="1"/>
    <col min="2" max="2" width="67.85546875" style="12" customWidth="1"/>
    <col min="3" max="3" width="24.7109375" style="12" customWidth="1"/>
    <col min="4" max="4" width="68.5703125" style="12" customWidth="1"/>
  </cols>
  <sheetData>
    <row r="1" spans="1:4" s="97" customFormat="1" ht="16.5" thickBot="1" x14ac:dyDescent="0.3">
      <c r="A1" s="96" t="s">
        <v>56</v>
      </c>
      <c r="B1" s="96" t="s">
        <v>54</v>
      </c>
      <c r="C1" s="96" t="s">
        <v>60</v>
      </c>
      <c r="D1" s="96" t="s">
        <v>55</v>
      </c>
    </row>
    <row r="2" spans="1:4" ht="45" x14ac:dyDescent="0.25">
      <c r="A2" s="11" t="s">
        <v>158</v>
      </c>
      <c r="B2" s="11" t="s">
        <v>159</v>
      </c>
      <c r="C2" s="11" t="s">
        <v>47</v>
      </c>
      <c r="D2" s="11" t="s">
        <v>64</v>
      </c>
    </row>
    <row r="5" spans="1:4" x14ac:dyDescent="0.25">
      <c r="C5" s="1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F30132-7CE7-4862-B895-C2467EE0B35D}">
          <x14:formula1>
            <xm:f>Legends!$G$2:$G$4</xm:f>
          </x14:formula1>
          <xm:sqref>C1:C1048576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5C04-7627-430B-A8C0-9C55B87DCB36}">
  <sheetPr>
    <tabColor theme="5" tint="-0.249977111117893"/>
  </sheetPr>
  <dimension ref="A1:G70"/>
  <sheetViews>
    <sheetView workbookViewId="0"/>
  </sheetViews>
  <sheetFormatPr defaultRowHeight="15" x14ac:dyDescent="0.25"/>
  <cols>
    <col min="1" max="1" width="11.5703125" style="86" bestFit="1" customWidth="1"/>
    <col min="2" max="2" width="13.140625" style="87" bestFit="1" customWidth="1"/>
    <col min="3" max="3" width="9.85546875" style="87" bestFit="1" customWidth="1"/>
    <col min="4" max="4" width="8.5703125" style="87" bestFit="1" customWidth="1"/>
    <col min="5" max="5" width="13.140625" style="87" bestFit="1" customWidth="1"/>
    <col min="6" max="6" width="77.5703125" style="91" customWidth="1"/>
    <col min="7" max="7" width="76.7109375" style="95" customWidth="1"/>
  </cols>
  <sheetData>
    <row r="1" spans="1:7" s="97" customFormat="1" ht="32.25" thickBot="1" x14ac:dyDescent="0.3">
      <c r="A1" s="104" t="s">
        <v>1</v>
      </c>
      <c r="B1" s="105" t="s">
        <v>26</v>
      </c>
      <c r="C1" s="105" t="s">
        <v>151</v>
      </c>
      <c r="D1" s="105" t="s">
        <v>10</v>
      </c>
      <c r="E1" s="105" t="s">
        <v>27</v>
      </c>
      <c r="F1" s="105" t="s">
        <v>28</v>
      </c>
      <c r="G1" s="106" t="s">
        <v>29</v>
      </c>
    </row>
    <row r="2" spans="1:7" s="2" customFormat="1" ht="15.75" x14ac:dyDescent="0.25">
      <c r="A2" s="81">
        <v>46058</v>
      </c>
      <c r="B2" s="82" t="s">
        <v>15</v>
      </c>
      <c r="C2" s="82" t="s">
        <v>152</v>
      </c>
      <c r="D2" s="82" t="s">
        <v>14</v>
      </c>
      <c r="E2" s="82" t="s">
        <v>65</v>
      </c>
      <c r="F2" s="88" t="s">
        <v>148</v>
      </c>
      <c r="G2" s="92" t="s">
        <v>149</v>
      </c>
    </row>
    <row r="3" spans="1:7" s="2" customFormat="1" ht="31.5" x14ac:dyDescent="0.25">
      <c r="A3" s="81">
        <v>46058</v>
      </c>
      <c r="B3" s="83" t="s">
        <v>19</v>
      </c>
      <c r="C3" s="84" t="s">
        <v>153</v>
      </c>
      <c r="D3" s="83" t="s">
        <v>14</v>
      </c>
      <c r="E3" s="84" t="s">
        <v>65</v>
      </c>
      <c r="F3" s="89" t="s">
        <v>150</v>
      </c>
      <c r="G3" s="93" t="s">
        <v>154</v>
      </c>
    </row>
    <row r="4" spans="1:7" s="2" customFormat="1" ht="15.75" x14ac:dyDescent="0.25">
      <c r="A4" s="81">
        <v>46058</v>
      </c>
      <c r="B4" s="83" t="s">
        <v>23</v>
      </c>
      <c r="C4" s="83" t="s">
        <v>152</v>
      </c>
      <c r="D4" s="83" t="s">
        <v>18</v>
      </c>
      <c r="E4" s="84" t="s">
        <v>65</v>
      </c>
      <c r="F4" s="89" t="s">
        <v>155</v>
      </c>
      <c r="G4" s="93" t="s">
        <v>157</v>
      </c>
    </row>
    <row r="5" spans="1:7" s="2" customFormat="1" ht="15.75" x14ac:dyDescent="0.25">
      <c r="A5" s="81">
        <v>46058</v>
      </c>
      <c r="B5" s="83" t="s">
        <v>23</v>
      </c>
      <c r="C5" s="83" t="s">
        <v>152</v>
      </c>
      <c r="D5" s="83" t="s">
        <v>18</v>
      </c>
      <c r="E5" s="84" t="s">
        <v>65</v>
      </c>
      <c r="F5" s="89" t="s">
        <v>156</v>
      </c>
      <c r="G5" s="93" t="s">
        <v>157</v>
      </c>
    </row>
    <row r="6" spans="1:7" ht="15.75" x14ac:dyDescent="0.25">
      <c r="A6" s="85"/>
      <c r="B6" s="83"/>
      <c r="C6" s="83"/>
      <c r="D6" s="83"/>
      <c r="E6" s="83"/>
      <c r="F6" s="90"/>
      <c r="G6" s="94"/>
    </row>
    <row r="7" spans="1:7" ht="15.75" x14ac:dyDescent="0.25">
      <c r="A7" s="85"/>
      <c r="B7" s="83"/>
      <c r="C7" s="83"/>
      <c r="D7" s="83"/>
      <c r="E7" s="83"/>
      <c r="F7" s="90"/>
      <c r="G7" s="94"/>
    </row>
    <row r="8" spans="1:7" ht="15.75" x14ac:dyDescent="0.25">
      <c r="A8" s="85"/>
      <c r="B8" s="83"/>
      <c r="C8" s="83"/>
      <c r="D8" s="83"/>
      <c r="E8" s="83"/>
      <c r="F8" s="90"/>
      <c r="G8" s="94"/>
    </row>
    <row r="9" spans="1:7" ht="15.75" x14ac:dyDescent="0.25">
      <c r="A9" s="85"/>
      <c r="B9" s="83"/>
      <c r="C9" s="83"/>
      <c r="D9" s="83"/>
      <c r="E9" s="83"/>
      <c r="F9" s="90"/>
      <c r="G9" s="94"/>
    </row>
    <row r="10" spans="1:7" ht="15.75" x14ac:dyDescent="0.25">
      <c r="A10" s="85"/>
      <c r="B10" s="83"/>
      <c r="C10" s="83"/>
      <c r="D10" s="83"/>
      <c r="E10" s="83"/>
      <c r="F10" s="90"/>
      <c r="G10" s="94"/>
    </row>
    <row r="11" spans="1:7" ht="15.75" x14ac:dyDescent="0.25">
      <c r="A11" s="85"/>
      <c r="B11" s="83"/>
      <c r="C11" s="83"/>
      <c r="D11" s="83"/>
      <c r="E11" s="83"/>
      <c r="F11" s="90"/>
      <c r="G11" s="94"/>
    </row>
    <row r="12" spans="1:7" ht="15.75" x14ac:dyDescent="0.25">
      <c r="A12" s="85"/>
      <c r="B12" s="83"/>
      <c r="C12" s="83"/>
      <c r="D12" s="83"/>
      <c r="E12" s="83"/>
      <c r="F12" s="90"/>
      <c r="G12" s="94"/>
    </row>
    <row r="13" spans="1:7" ht="15.75" x14ac:dyDescent="0.25">
      <c r="A13" s="85"/>
      <c r="B13" s="83"/>
      <c r="C13" s="83"/>
      <c r="D13" s="83"/>
      <c r="E13" s="83"/>
      <c r="F13" s="90"/>
      <c r="G13" s="94"/>
    </row>
    <row r="14" spans="1:7" ht="15.75" x14ac:dyDescent="0.25">
      <c r="A14" s="85"/>
      <c r="B14" s="83"/>
      <c r="C14" s="83"/>
      <c r="D14" s="83"/>
      <c r="E14" s="83"/>
      <c r="F14" s="90"/>
      <c r="G14" s="94"/>
    </row>
    <row r="15" spans="1:7" ht="15.75" x14ac:dyDescent="0.25">
      <c r="A15" s="85"/>
      <c r="B15" s="83"/>
      <c r="C15" s="83"/>
      <c r="D15" s="83"/>
      <c r="E15" s="83"/>
      <c r="F15" s="90"/>
      <c r="G15" s="94"/>
    </row>
    <row r="16" spans="1:7" ht="15.75" x14ac:dyDescent="0.25">
      <c r="A16" s="85"/>
      <c r="B16" s="83"/>
      <c r="C16" s="83"/>
      <c r="D16" s="83"/>
      <c r="E16" s="83"/>
      <c r="F16" s="90"/>
      <c r="G16" s="94"/>
    </row>
    <row r="17" spans="1:7" ht="15.75" x14ac:dyDescent="0.25">
      <c r="A17" s="85"/>
      <c r="B17" s="83"/>
      <c r="C17" s="83"/>
      <c r="D17" s="83"/>
      <c r="E17" s="83"/>
      <c r="F17" s="90"/>
      <c r="G17" s="94"/>
    </row>
    <row r="18" spans="1:7" ht="15.75" x14ac:dyDescent="0.25">
      <c r="A18" s="85"/>
      <c r="B18" s="83"/>
      <c r="C18" s="83"/>
      <c r="D18" s="83"/>
      <c r="E18" s="83"/>
      <c r="F18" s="90"/>
      <c r="G18" s="94"/>
    </row>
    <row r="19" spans="1:7" ht="15.75" x14ac:dyDescent="0.25">
      <c r="A19" s="85"/>
      <c r="B19" s="83"/>
      <c r="C19" s="83"/>
      <c r="D19" s="83"/>
      <c r="E19" s="83"/>
      <c r="F19" s="90"/>
      <c r="G19" s="94"/>
    </row>
    <row r="20" spans="1:7" ht="15.75" x14ac:dyDescent="0.25">
      <c r="A20" s="85"/>
      <c r="B20" s="83"/>
      <c r="C20" s="83"/>
      <c r="D20" s="83"/>
      <c r="E20" s="83"/>
      <c r="F20" s="90"/>
      <c r="G20" s="94"/>
    </row>
    <row r="21" spans="1:7" ht="15.75" x14ac:dyDescent="0.25">
      <c r="A21" s="85"/>
      <c r="B21" s="83"/>
      <c r="C21" s="83"/>
      <c r="D21" s="83"/>
      <c r="E21" s="83"/>
      <c r="F21" s="90"/>
      <c r="G21" s="94"/>
    </row>
    <row r="22" spans="1:7" ht="15.75" x14ac:dyDescent="0.25">
      <c r="A22" s="85"/>
      <c r="B22" s="83"/>
      <c r="C22" s="83"/>
      <c r="D22" s="83"/>
      <c r="E22" s="83"/>
      <c r="F22" s="90"/>
      <c r="G22" s="94"/>
    </row>
    <row r="23" spans="1:7" ht="15.75" x14ac:dyDescent="0.25">
      <c r="A23" s="85"/>
      <c r="B23" s="83"/>
      <c r="C23" s="83"/>
      <c r="D23" s="83"/>
      <c r="E23" s="83"/>
      <c r="F23" s="90"/>
      <c r="G23" s="94"/>
    </row>
    <row r="24" spans="1:7" ht="15.75" x14ac:dyDescent="0.25">
      <c r="A24" s="85"/>
      <c r="B24" s="83"/>
      <c r="C24" s="83"/>
      <c r="D24" s="83"/>
      <c r="E24" s="83"/>
      <c r="F24" s="90"/>
      <c r="G24" s="94"/>
    </row>
    <row r="25" spans="1:7" ht="15.75" x14ac:dyDescent="0.25">
      <c r="A25" s="85"/>
      <c r="B25" s="83"/>
      <c r="C25" s="83"/>
      <c r="D25" s="83"/>
      <c r="E25" s="83"/>
      <c r="F25" s="90"/>
      <c r="G25" s="94"/>
    </row>
    <row r="26" spans="1:7" ht="15.75" x14ac:dyDescent="0.25">
      <c r="A26" s="85"/>
      <c r="B26" s="83"/>
      <c r="C26" s="83"/>
      <c r="D26" s="83"/>
      <c r="E26" s="83"/>
      <c r="F26" s="90"/>
      <c r="G26" s="94"/>
    </row>
    <row r="27" spans="1:7" ht="15.75" x14ac:dyDescent="0.25">
      <c r="A27" s="85"/>
      <c r="B27" s="83"/>
      <c r="C27" s="83"/>
      <c r="D27" s="83"/>
      <c r="E27" s="83"/>
      <c r="F27" s="90"/>
      <c r="G27" s="94"/>
    </row>
    <row r="28" spans="1:7" ht="15.75" x14ac:dyDescent="0.25">
      <c r="A28" s="85"/>
      <c r="B28" s="83"/>
      <c r="C28" s="83"/>
      <c r="D28" s="83"/>
      <c r="E28" s="83"/>
      <c r="F28" s="90"/>
      <c r="G28" s="94"/>
    </row>
    <row r="29" spans="1:7" ht="15.75" x14ac:dyDescent="0.25">
      <c r="A29" s="85"/>
      <c r="B29" s="83"/>
      <c r="C29" s="83"/>
      <c r="D29" s="83"/>
      <c r="E29" s="83"/>
      <c r="F29" s="90"/>
      <c r="G29" s="94"/>
    </row>
    <row r="30" spans="1:7" ht="15.75" x14ac:dyDescent="0.25">
      <c r="A30" s="85"/>
      <c r="B30" s="83"/>
      <c r="C30" s="83"/>
      <c r="D30" s="83"/>
      <c r="E30" s="83"/>
      <c r="F30" s="90"/>
      <c r="G30" s="94"/>
    </row>
    <row r="31" spans="1:7" ht="15.75" x14ac:dyDescent="0.25">
      <c r="A31" s="85"/>
      <c r="B31" s="83"/>
      <c r="C31" s="83"/>
      <c r="D31" s="83"/>
      <c r="E31" s="83"/>
      <c r="F31" s="90"/>
      <c r="G31" s="94"/>
    </row>
    <row r="32" spans="1:7" ht="15.75" x14ac:dyDescent="0.25">
      <c r="A32" s="85"/>
      <c r="B32" s="83"/>
      <c r="C32" s="83"/>
      <c r="D32" s="83"/>
      <c r="E32" s="83"/>
      <c r="F32" s="90"/>
      <c r="G32" s="94"/>
    </row>
    <row r="33" spans="1:7" ht="15.75" x14ac:dyDescent="0.25">
      <c r="A33" s="85"/>
      <c r="B33" s="83"/>
      <c r="C33" s="83"/>
      <c r="D33" s="83"/>
      <c r="E33" s="83"/>
      <c r="F33" s="90"/>
      <c r="G33" s="94"/>
    </row>
    <row r="34" spans="1:7" ht="15.75" x14ac:dyDescent="0.25">
      <c r="A34" s="85"/>
      <c r="B34" s="83"/>
      <c r="C34" s="83"/>
      <c r="D34" s="83"/>
      <c r="E34" s="83"/>
      <c r="F34" s="90"/>
      <c r="G34" s="94"/>
    </row>
    <row r="35" spans="1:7" ht="15.75" x14ac:dyDescent="0.25">
      <c r="A35" s="85"/>
      <c r="B35" s="83"/>
      <c r="C35" s="83"/>
      <c r="D35" s="83"/>
      <c r="E35" s="83"/>
      <c r="F35" s="90"/>
      <c r="G35" s="94"/>
    </row>
    <row r="36" spans="1:7" ht="15.75" x14ac:dyDescent="0.25">
      <c r="A36" s="85"/>
      <c r="B36" s="83"/>
      <c r="C36" s="83"/>
      <c r="D36" s="83"/>
      <c r="E36" s="83"/>
      <c r="F36" s="90"/>
      <c r="G36" s="94"/>
    </row>
    <row r="37" spans="1:7" ht="15.75" x14ac:dyDescent="0.25">
      <c r="A37" s="85"/>
      <c r="B37" s="83"/>
      <c r="C37" s="83"/>
      <c r="D37" s="83"/>
      <c r="E37" s="83"/>
      <c r="F37" s="90"/>
      <c r="G37" s="94"/>
    </row>
    <row r="38" spans="1:7" ht="15.75" x14ac:dyDescent="0.25">
      <c r="A38" s="85"/>
      <c r="B38" s="83"/>
      <c r="C38" s="83"/>
      <c r="D38" s="83"/>
      <c r="E38" s="83"/>
      <c r="F38" s="90"/>
      <c r="G38" s="94"/>
    </row>
    <row r="39" spans="1:7" ht="15.75" x14ac:dyDescent="0.25">
      <c r="A39" s="85"/>
      <c r="B39" s="83"/>
      <c r="C39" s="83"/>
      <c r="D39" s="83"/>
      <c r="E39" s="83"/>
      <c r="F39" s="90"/>
      <c r="G39" s="94"/>
    </row>
    <row r="40" spans="1:7" ht="15.75" x14ac:dyDescent="0.25">
      <c r="A40" s="85"/>
      <c r="B40" s="83"/>
      <c r="C40" s="83"/>
      <c r="D40" s="83"/>
      <c r="E40" s="83"/>
      <c r="F40" s="90"/>
      <c r="G40" s="94"/>
    </row>
    <row r="41" spans="1:7" ht="15.75" x14ac:dyDescent="0.25">
      <c r="A41" s="85"/>
      <c r="B41" s="83"/>
      <c r="C41" s="83"/>
      <c r="D41" s="83"/>
      <c r="E41" s="83"/>
      <c r="F41" s="90"/>
      <c r="G41" s="94"/>
    </row>
    <row r="42" spans="1:7" ht="15.75" x14ac:dyDescent="0.25">
      <c r="A42" s="85"/>
      <c r="B42" s="83"/>
      <c r="C42" s="83"/>
      <c r="D42" s="83"/>
      <c r="E42" s="83"/>
      <c r="F42" s="90"/>
      <c r="G42" s="94"/>
    </row>
    <row r="43" spans="1:7" ht="15.75" x14ac:dyDescent="0.25">
      <c r="A43" s="85"/>
      <c r="B43" s="83"/>
      <c r="C43" s="83"/>
      <c r="D43" s="83"/>
      <c r="E43" s="83"/>
      <c r="F43" s="90"/>
      <c r="G43" s="94"/>
    </row>
    <row r="44" spans="1:7" ht="15.75" x14ac:dyDescent="0.25">
      <c r="A44" s="85"/>
      <c r="B44" s="83"/>
      <c r="C44" s="83"/>
      <c r="D44" s="83"/>
      <c r="E44" s="83"/>
      <c r="F44" s="90"/>
      <c r="G44" s="94"/>
    </row>
    <row r="45" spans="1:7" ht="15.75" x14ac:dyDescent="0.25">
      <c r="A45" s="85"/>
      <c r="B45" s="83"/>
      <c r="C45" s="83"/>
      <c r="D45" s="83"/>
      <c r="E45" s="83"/>
      <c r="F45" s="90"/>
      <c r="G45" s="94"/>
    </row>
    <row r="46" spans="1:7" ht="15.75" x14ac:dyDescent="0.25">
      <c r="A46" s="85"/>
      <c r="B46" s="83"/>
      <c r="C46" s="83"/>
      <c r="D46" s="83"/>
      <c r="E46" s="83"/>
      <c r="F46" s="90"/>
      <c r="G46" s="94"/>
    </row>
    <row r="47" spans="1:7" ht="15.75" x14ac:dyDescent="0.25">
      <c r="A47" s="85"/>
      <c r="B47" s="83"/>
      <c r="C47" s="83"/>
      <c r="D47" s="83"/>
      <c r="E47" s="83"/>
      <c r="F47" s="90"/>
      <c r="G47" s="94"/>
    </row>
    <row r="48" spans="1:7" ht="15.75" x14ac:dyDescent="0.25">
      <c r="A48" s="85"/>
      <c r="B48" s="83"/>
      <c r="C48" s="83"/>
      <c r="D48" s="83"/>
      <c r="E48" s="83"/>
      <c r="F48" s="90"/>
      <c r="G48" s="94"/>
    </row>
    <row r="49" spans="1:7" ht="15.75" x14ac:dyDescent="0.25">
      <c r="A49" s="85"/>
      <c r="B49" s="83"/>
      <c r="C49" s="83"/>
      <c r="D49" s="83"/>
      <c r="E49" s="83"/>
      <c r="F49" s="90"/>
      <c r="G49" s="94"/>
    </row>
    <row r="50" spans="1:7" ht="15.75" x14ac:dyDescent="0.25">
      <c r="A50" s="85"/>
      <c r="B50" s="83"/>
      <c r="C50" s="83"/>
      <c r="D50" s="83"/>
      <c r="E50" s="83"/>
      <c r="F50" s="90"/>
      <c r="G50" s="94"/>
    </row>
    <row r="51" spans="1:7" ht="15.75" x14ac:dyDescent="0.25">
      <c r="A51" s="85"/>
      <c r="B51" s="83"/>
      <c r="C51" s="83"/>
      <c r="D51" s="83"/>
      <c r="E51" s="83"/>
      <c r="F51" s="90"/>
      <c r="G51" s="94"/>
    </row>
    <row r="52" spans="1:7" ht="15.75" x14ac:dyDescent="0.25">
      <c r="A52" s="85"/>
      <c r="B52" s="83"/>
      <c r="C52" s="83"/>
      <c r="D52" s="83"/>
      <c r="E52" s="83"/>
      <c r="F52" s="90"/>
      <c r="G52" s="94"/>
    </row>
    <row r="53" spans="1:7" ht="15.75" x14ac:dyDescent="0.25">
      <c r="A53" s="85"/>
      <c r="B53" s="83"/>
      <c r="C53" s="83"/>
      <c r="D53" s="83"/>
      <c r="E53" s="83"/>
      <c r="F53" s="90"/>
      <c r="G53" s="94"/>
    </row>
    <row r="54" spans="1:7" ht="15.75" x14ac:dyDescent="0.25">
      <c r="A54" s="85"/>
      <c r="B54" s="83"/>
      <c r="C54" s="83"/>
      <c r="D54" s="83"/>
      <c r="E54" s="83"/>
      <c r="F54" s="90"/>
      <c r="G54" s="94"/>
    </row>
    <row r="55" spans="1:7" ht="15.75" x14ac:dyDescent="0.25">
      <c r="A55" s="85"/>
      <c r="B55" s="83"/>
      <c r="C55" s="83"/>
      <c r="D55" s="83"/>
      <c r="E55" s="83"/>
      <c r="F55" s="90"/>
      <c r="G55" s="94"/>
    </row>
    <row r="56" spans="1:7" ht="15.75" x14ac:dyDescent="0.25">
      <c r="A56" s="85"/>
      <c r="B56" s="83"/>
      <c r="C56" s="83"/>
      <c r="D56" s="83"/>
      <c r="E56" s="83"/>
      <c r="F56" s="90"/>
      <c r="G56" s="94"/>
    </row>
    <row r="57" spans="1:7" ht="15.75" x14ac:dyDescent="0.25">
      <c r="A57" s="85"/>
      <c r="B57" s="83"/>
      <c r="C57" s="83"/>
      <c r="D57" s="83"/>
      <c r="E57" s="83"/>
      <c r="F57" s="90"/>
      <c r="G57" s="94"/>
    </row>
    <row r="58" spans="1:7" ht="15.75" x14ac:dyDescent="0.25">
      <c r="A58" s="85"/>
      <c r="B58" s="83"/>
      <c r="C58" s="83"/>
      <c r="D58" s="83"/>
      <c r="E58" s="83"/>
      <c r="F58" s="90"/>
      <c r="G58" s="94"/>
    </row>
    <row r="59" spans="1:7" ht="15.75" x14ac:dyDescent="0.25">
      <c r="A59" s="85"/>
      <c r="B59" s="83"/>
      <c r="C59" s="83"/>
      <c r="D59" s="83"/>
      <c r="E59" s="83"/>
      <c r="F59" s="90"/>
      <c r="G59" s="94"/>
    </row>
    <row r="60" spans="1:7" ht="15.75" x14ac:dyDescent="0.25">
      <c r="A60" s="85"/>
      <c r="B60" s="83"/>
      <c r="C60" s="83"/>
      <c r="D60" s="83"/>
      <c r="E60" s="83"/>
      <c r="F60" s="90"/>
      <c r="G60" s="94"/>
    </row>
    <row r="61" spans="1:7" ht="15.75" x14ac:dyDescent="0.25">
      <c r="A61" s="85"/>
      <c r="B61" s="83"/>
      <c r="C61" s="83"/>
      <c r="D61" s="83"/>
      <c r="E61" s="83"/>
      <c r="F61" s="90"/>
      <c r="G61" s="94"/>
    </row>
    <row r="62" spans="1:7" ht="15.75" x14ac:dyDescent="0.25">
      <c r="A62" s="85"/>
      <c r="B62" s="83"/>
      <c r="C62" s="83"/>
      <c r="D62" s="83"/>
      <c r="E62" s="83"/>
      <c r="F62" s="90"/>
      <c r="G62" s="94"/>
    </row>
    <row r="63" spans="1:7" ht="15.75" x14ac:dyDescent="0.25">
      <c r="A63" s="85"/>
      <c r="B63" s="83"/>
      <c r="C63" s="83"/>
      <c r="D63" s="83"/>
      <c r="E63" s="83"/>
      <c r="F63" s="90"/>
      <c r="G63" s="94"/>
    </row>
    <row r="64" spans="1:7" ht="15.75" x14ac:dyDescent="0.25">
      <c r="A64" s="85"/>
      <c r="B64" s="83"/>
      <c r="C64" s="83"/>
      <c r="D64" s="83"/>
      <c r="E64" s="83"/>
      <c r="F64" s="90"/>
      <c r="G64" s="94"/>
    </row>
    <row r="65" spans="1:7" ht="15.75" x14ac:dyDescent="0.25">
      <c r="A65" s="85"/>
      <c r="B65" s="83"/>
      <c r="C65" s="83"/>
      <c r="D65" s="83"/>
      <c r="E65" s="83"/>
      <c r="F65" s="90"/>
      <c r="G65" s="94"/>
    </row>
    <row r="66" spans="1:7" ht="15.75" x14ac:dyDescent="0.25">
      <c r="A66" s="85"/>
      <c r="B66" s="83"/>
      <c r="C66" s="83"/>
      <c r="D66" s="83"/>
      <c r="E66" s="83"/>
      <c r="F66" s="90"/>
      <c r="G66" s="94"/>
    </row>
    <row r="67" spans="1:7" ht="15.75" x14ac:dyDescent="0.25">
      <c r="A67" s="85"/>
      <c r="B67" s="83"/>
      <c r="C67" s="83"/>
      <c r="D67" s="83"/>
      <c r="E67" s="83"/>
      <c r="F67" s="90"/>
      <c r="G67" s="94"/>
    </row>
    <row r="68" spans="1:7" ht="15.75" x14ac:dyDescent="0.25">
      <c r="A68" s="85"/>
      <c r="B68" s="83"/>
      <c r="C68" s="83"/>
      <c r="D68" s="83"/>
      <c r="E68" s="83"/>
      <c r="F68" s="90"/>
      <c r="G68" s="94"/>
    </row>
    <row r="69" spans="1:7" ht="15.75" x14ac:dyDescent="0.25">
      <c r="A69" s="85"/>
      <c r="B69" s="83"/>
      <c r="C69" s="83"/>
      <c r="D69" s="83"/>
      <c r="E69" s="83"/>
      <c r="F69" s="90"/>
      <c r="G69" s="94"/>
    </row>
    <row r="70" spans="1:7" ht="15.75" x14ac:dyDescent="0.25">
      <c r="A70" s="85"/>
      <c r="B70" s="83"/>
      <c r="C70" s="83"/>
      <c r="D70" s="83"/>
      <c r="E70" s="83"/>
      <c r="F70" s="90"/>
      <c r="G70" s="94"/>
    </row>
  </sheetData>
  <dataValidations count="1">
    <dataValidation type="list" allowBlank="1" showInputMessage="1" showErrorMessage="1" sqref="C1:C1048576" xr:uid="{8D8CECEC-3AEB-4BC6-8BF0-2137421AB9CF}">
      <formula1>"Open,Closed,In Review"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A05DA76-448F-46FC-951D-9FFC32E8590B}">
          <x14:formula1>
            <xm:f>Legends!$C$2:$C$4</xm:f>
          </x14:formula1>
          <xm:sqref>D1:D1048576</xm:sqref>
        </x14:dataValidation>
        <x14:dataValidation type="list" allowBlank="1" showInputMessage="1" showErrorMessage="1" xr:uid="{F96A9721-A8A6-49E9-AAFE-147ECA1C43DE}">
          <x14:formula1>
            <xm:f>Legends!$D$2:$D$13</xm:f>
          </x14:formula1>
          <xm:sqref>B1:B1048576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4BD1B-D75D-4FEE-9293-307B7554103E}">
  <sheetPr>
    <tabColor theme="5" tint="-0.249977111117893"/>
  </sheetPr>
  <dimension ref="A1:D27"/>
  <sheetViews>
    <sheetView workbookViewId="0"/>
  </sheetViews>
  <sheetFormatPr defaultRowHeight="15" x14ac:dyDescent="0.25"/>
  <cols>
    <col min="1" max="1" width="26.42578125" style="1" customWidth="1"/>
    <col min="2" max="2" width="19.42578125" style="1" customWidth="1"/>
    <col min="3" max="3" width="13.42578125" style="1" customWidth="1"/>
    <col min="4" max="4" width="76.7109375" style="4" customWidth="1"/>
  </cols>
  <sheetData>
    <row r="1" spans="1:4" ht="15.75" x14ac:dyDescent="0.25">
      <c r="A1" s="103" t="s">
        <v>44</v>
      </c>
      <c r="B1" s="103" t="s">
        <v>45</v>
      </c>
      <c r="C1" s="103" t="s">
        <v>33</v>
      </c>
      <c r="D1" s="103" t="s">
        <v>34</v>
      </c>
    </row>
    <row r="2" spans="1:4" ht="15" customHeight="1" x14ac:dyDescent="0.25">
      <c r="A2" s="1" t="s">
        <v>30</v>
      </c>
      <c r="B2" s="1" t="s">
        <v>144</v>
      </c>
      <c r="C2" s="1" t="s">
        <v>16</v>
      </c>
      <c r="D2" s="3" t="s">
        <v>147</v>
      </c>
    </row>
    <row r="3" spans="1:4" ht="15" customHeight="1" x14ac:dyDescent="0.25">
      <c r="A3" s="1" t="s">
        <v>31</v>
      </c>
      <c r="B3" s="1" t="s">
        <v>146</v>
      </c>
      <c r="C3" s="1" t="s">
        <v>16</v>
      </c>
      <c r="D3" s="3" t="s">
        <v>147</v>
      </c>
    </row>
    <row r="4" spans="1:4" ht="15" customHeight="1" x14ac:dyDescent="0.25">
      <c r="A4" s="1" t="s">
        <v>32</v>
      </c>
      <c r="B4" s="1" t="s">
        <v>145</v>
      </c>
      <c r="C4" s="1" t="s">
        <v>16</v>
      </c>
      <c r="D4" s="3" t="s">
        <v>147</v>
      </c>
    </row>
    <row r="5" spans="1:4" ht="15" customHeight="1" x14ac:dyDescent="0.25">
      <c r="D5" s="3"/>
    </row>
    <row r="6" spans="1:4" ht="15" customHeight="1" x14ac:dyDescent="0.25">
      <c r="D6" s="3"/>
    </row>
    <row r="7" spans="1:4" ht="15" customHeight="1" x14ac:dyDescent="0.25">
      <c r="D7" s="3"/>
    </row>
    <row r="8" spans="1:4" ht="15" customHeight="1" x14ac:dyDescent="0.25">
      <c r="D8" s="3"/>
    </row>
    <row r="9" spans="1:4" ht="15" customHeight="1" x14ac:dyDescent="0.25">
      <c r="D9" s="3"/>
    </row>
    <row r="10" spans="1:4" ht="15" customHeight="1" x14ac:dyDescent="0.25">
      <c r="D10" s="3"/>
    </row>
    <row r="11" spans="1:4" ht="15" customHeight="1" x14ac:dyDescent="0.25">
      <c r="D11" s="3"/>
    </row>
    <row r="12" spans="1:4" ht="15" customHeight="1" x14ac:dyDescent="0.25">
      <c r="D12" s="3"/>
    </row>
    <row r="13" spans="1:4" ht="15" customHeight="1" x14ac:dyDescent="0.25">
      <c r="D13" s="3"/>
    </row>
    <row r="14" spans="1:4" ht="15" customHeight="1" x14ac:dyDescent="0.25">
      <c r="D14" s="3"/>
    </row>
    <row r="15" spans="1:4" ht="15" customHeight="1" x14ac:dyDescent="0.25">
      <c r="D15" s="3"/>
    </row>
    <row r="16" spans="1:4" ht="15" customHeight="1" x14ac:dyDescent="0.25">
      <c r="D16" s="3"/>
    </row>
    <row r="17" spans="4:4" ht="15" customHeight="1" x14ac:dyDescent="0.25">
      <c r="D17" s="3"/>
    </row>
    <row r="18" spans="4:4" ht="15" customHeight="1" x14ac:dyDescent="0.25">
      <c r="D18" s="3"/>
    </row>
    <row r="19" spans="4:4" ht="15" customHeight="1" x14ac:dyDescent="0.25">
      <c r="D19" s="3"/>
    </row>
    <row r="20" spans="4:4" ht="15" customHeight="1" x14ac:dyDescent="0.25">
      <c r="D20" s="3"/>
    </row>
    <row r="21" spans="4:4" ht="15" customHeight="1" x14ac:dyDescent="0.25">
      <c r="D21" s="3"/>
    </row>
    <row r="22" spans="4:4" ht="15" customHeight="1" x14ac:dyDescent="0.25">
      <c r="D22" s="3"/>
    </row>
    <row r="23" spans="4:4" ht="15" customHeight="1" x14ac:dyDescent="0.25">
      <c r="D23" s="3"/>
    </row>
    <row r="24" spans="4:4" ht="15" customHeight="1" x14ac:dyDescent="0.25">
      <c r="D24" s="3"/>
    </row>
    <row r="25" spans="4:4" ht="15" customHeight="1" x14ac:dyDescent="0.25">
      <c r="D25" s="3"/>
    </row>
    <row r="26" spans="4:4" ht="15" customHeight="1" x14ac:dyDescent="0.25">
      <c r="D26" s="3"/>
    </row>
    <row r="27" spans="4:4" ht="15" customHeight="1" x14ac:dyDescent="0.25">
      <c r="D27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F202E35-C065-48AF-9EFC-22A745561D6B}">
          <x14:formula1>
            <xm:f>Legends!$E$2:$E$4</xm:f>
          </x14:formula1>
          <xm:sqref>C1:C1048576</xm:sqref>
        </x14:dataValidation>
        <x14:dataValidation type="list" allowBlank="1" showInputMessage="1" showErrorMessage="1" xr:uid="{7EEAA884-8E02-47C7-94E9-334AC2835093}">
          <x14:formula1>
            <xm:f>Legends!$F$2:$F$4</xm:f>
          </x14:formula1>
          <xm:sqref>A1:A1048576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0417-D73C-4B6E-B740-BDE45B0F3E11}">
  <sheetPr>
    <tabColor theme="5" tint="-0.249977111117893"/>
  </sheetPr>
  <dimension ref="A1:K32"/>
  <sheetViews>
    <sheetView workbookViewId="0">
      <selection activeCell="F1" sqref="F1:F1048576"/>
    </sheetView>
  </sheetViews>
  <sheetFormatPr defaultRowHeight="15" x14ac:dyDescent="0.25"/>
  <cols>
    <col min="1" max="1" width="19.85546875" style="75" customWidth="1"/>
    <col min="2" max="2" width="21.28515625" style="73" customWidth="1"/>
    <col min="3" max="3" width="58.5703125" style="77" customWidth="1"/>
    <col min="4" max="4" width="33.85546875" style="74" customWidth="1"/>
    <col min="5" max="5" width="49.28515625" style="77" customWidth="1"/>
    <col min="6" max="6" width="14.42578125" style="73" customWidth="1"/>
    <col min="7" max="7" width="17.85546875" style="73" customWidth="1"/>
    <col min="8" max="8" width="19.140625" style="73" customWidth="1"/>
    <col min="9" max="9" width="18.7109375" style="73" customWidth="1"/>
    <col min="10" max="10" width="19.42578125" style="73" customWidth="1"/>
    <col min="11" max="11" width="77.5703125" style="79" customWidth="1"/>
    <col min="12" max="16384" width="9.140625" style="2"/>
  </cols>
  <sheetData>
    <row r="1" spans="1:11" s="102" customFormat="1" ht="16.5" thickBot="1" x14ac:dyDescent="0.3">
      <c r="A1" s="98" t="s">
        <v>30</v>
      </c>
      <c r="B1" s="99" t="s">
        <v>35</v>
      </c>
      <c r="C1" s="100" t="s">
        <v>37</v>
      </c>
      <c r="D1" s="100" t="s">
        <v>38</v>
      </c>
      <c r="E1" s="100" t="s">
        <v>39</v>
      </c>
      <c r="F1" s="99" t="s">
        <v>40</v>
      </c>
      <c r="G1" s="99" t="s">
        <v>41</v>
      </c>
      <c r="H1" s="99" t="s">
        <v>9</v>
      </c>
      <c r="I1" s="99" t="s">
        <v>10</v>
      </c>
      <c r="J1" s="99" t="s">
        <v>42</v>
      </c>
      <c r="K1" s="101" t="s">
        <v>34</v>
      </c>
    </row>
    <row r="2" spans="1:11" ht="225" x14ac:dyDescent="0.25">
      <c r="A2" s="70" t="s">
        <v>68</v>
      </c>
      <c r="B2" s="71" t="s">
        <v>46</v>
      </c>
      <c r="C2" s="76" t="s">
        <v>72</v>
      </c>
      <c r="D2" s="72" t="s">
        <v>74</v>
      </c>
      <c r="E2" s="76" t="s">
        <v>81</v>
      </c>
      <c r="F2" s="71">
        <v>1</v>
      </c>
      <c r="G2" s="71" t="s">
        <v>76</v>
      </c>
      <c r="H2" s="71" t="s">
        <v>17</v>
      </c>
      <c r="I2" s="71" t="s">
        <v>14</v>
      </c>
      <c r="J2" s="71" t="s">
        <v>47</v>
      </c>
      <c r="K2" s="78" t="s">
        <v>80</v>
      </c>
    </row>
    <row r="3" spans="1:11" ht="195" x14ac:dyDescent="0.25">
      <c r="A3" s="70" t="s">
        <v>68</v>
      </c>
      <c r="B3" s="71" t="s">
        <v>46</v>
      </c>
      <c r="C3" s="76" t="s">
        <v>73</v>
      </c>
      <c r="D3" s="72" t="s">
        <v>74</v>
      </c>
      <c r="E3" s="76" t="s">
        <v>82</v>
      </c>
      <c r="F3" s="71">
        <v>1</v>
      </c>
      <c r="G3" s="71" t="s">
        <v>76</v>
      </c>
      <c r="H3" s="71" t="s">
        <v>17</v>
      </c>
      <c r="I3" s="71" t="s">
        <v>14</v>
      </c>
      <c r="J3" s="71" t="s">
        <v>47</v>
      </c>
      <c r="K3" s="78" t="s">
        <v>80</v>
      </c>
    </row>
    <row r="4" spans="1:11" ht="120" x14ac:dyDescent="0.25">
      <c r="A4" s="70" t="s">
        <v>68</v>
      </c>
      <c r="B4" s="71" t="s">
        <v>46</v>
      </c>
      <c r="C4" s="76" t="s">
        <v>79</v>
      </c>
      <c r="D4" s="72" t="s">
        <v>74</v>
      </c>
      <c r="E4" s="76" t="s">
        <v>83</v>
      </c>
      <c r="F4" s="71">
        <v>1</v>
      </c>
      <c r="G4" s="71" t="s">
        <v>75</v>
      </c>
      <c r="H4" s="71" t="s">
        <v>17</v>
      </c>
      <c r="I4" s="71" t="s">
        <v>14</v>
      </c>
      <c r="J4" s="71" t="s">
        <v>47</v>
      </c>
      <c r="K4" s="78"/>
    </row>
    <row r="5" spans="1:11" ht="120" x14ac:dyDescent="0.25">
      <c r="A5" s="70" t="s">
        <v>68</v>
      </c>
      <c r="B5" s="71" t="s">
        <v>46</v>
      </c>
      <c r="C5" s="76" t="s">
        <v>84</v>
      </c>
      <c r="D5" s="72" t="s">
        <v>85</v>
      </c>
      <c r="E5" s="76" t="s">
        <v>87</v>
      </c>
      <c r="F5" s="71">
        <v>1</v>
      </c>
      <c r="G5" s="71" t="s">
        <v>76</v>
      </c>
      <c r="H5" s="71" t="s">
        <v>17</v>
      </c>
      <c r="I5" s="71" t="s">
        <v>14</v>
      </c>
      <c r="J5" s="71" t="s">
        <v>47</v>
      </c>
      <c r="K5" s="78" t="s">
        <v>80</v>
      </c>
    </row>
    <row r="6" spans="1:11" ht="180" x14ac:dyDescent="0.25">
      <c r="A6" s="70" t="s">
        <v>68</v>
      </c>
      <c r="B6" s="71" t="s">
        <v>46</v>
      </c>
      <c r="C6" s="76" t="s">
        <v>86</v>
      </c>
      <c r="D6" s="72" t="s">
        <v>85</v>
      </c>
      <c r="E6" s="76" t="s">
        <v>88</v>
      </c>
      <c r="F6" s="71">
        <v>1</v>
      </c>
      <c r="G6" s="71" t="s">
        <v>76</v>
      </c>
      <c r="H6" s="71" t="s">
        <v>17</v>
      </c>
      <c r="I6" s="71" t="s">
        <v>14</v>
      </c>
      <c r="J6" s="71" t="s">
        <v>47</v>
      </c>
      <c r="K6" s="78" t="s">
        <v>80</v>
      </c>
    </row>
    <row r="7" spans="1:11" ht="180" x14ac:dyDescent="0.25">
      <c r="A7" s="70" t="s">
        <v>68</v>
      </c>
      <c r="B7" s="71" t="s">
        <v>46</v>
      </c>
      <c r="C7" s="76" t="s">
        <v>120</v>
      </c>
      <c r="D7" s="72" t="s">
        <v>85</v>
      </c>
      <c r="E7" s="76" t="s">
        <v>110</v>
      </c>
      <c r="F7" s="71">
        <v>4</v>
      </c>
      <c r="G7" s="71" t="s">
        <v>76</v>
      </c>
      <c r="H7" s="71" t="s">
        <v>13</v>
      </c>
      <c r="I7" s="71" t="s">
        <v>21</v>
      </c>
      <c r="J7" s="71" t="s">
        <v>47</v>
      </c>
      <c r="K7" s="78" t="s">
        <v>89</v>
      </c>
    </row>
    <row r="8" spans="1:11" ht="210" x14ac:dyDescent="0.25">
      <c r="A8" s="70" t="s">
        <v>68</v>
      </c>
      <c r="B8" s="71" t="s">
        <v>46</v>
      </c>
      <c r="C8" s="76" t="s">
        <v>91</v>
      </c>
      <c r="D8" s="72" t="s">
        <v>85</v>
      </c>
      <c r="E8" s="76" t="s">
        <v>109</v>
      </c>
      <c r="F8" s="71">
        <v>2</v>
      </c>
      <c r="G8" s="71" t="s">
        <v>76</v>
      </c>
      <c r="H8" s="71" t="s">
        <v>17</v>
      </c>
      <c r="I8" s="71" t="s">
        <v>18</v>
      </c>
      <c r="J8" s="71" t="s">
        <v>47</v>
      </c>
      <c r="K8" s="78" t="s">
        <v>90</v>
      </c>
    </row>
    <row r="9" spans="1:11" ht="180" x14ac:dyDescent="0.25">
      <c r="A9" s="70" t="s">
        <v>68</v>
      </c>
      <c r="B9" s="71" t="s">
        <v>46</v>
      </c>
      <c r="C9" s="76" t="s">
        <v>92</v>
      </c>
      <c r="D9" s="72" t="s">
        <v>111</v>
      </c>
      <c r="E9" s="76" t="s">
        <v>119</v>
      </c>
      <c r="F9" s="71">
        <v>2</v>
      </c>
      <c r="G9" s="71" t="s">
        <v>76</v>
      </c>
      <c r="H9" s="71" t="s">
        <v>17</v>
      </c>
      <c r="I9" s="71" t="s">
        <v>18</v>
      </c>
      <c r="J9" s="71" t="s">
        <v>47</v>
      </c>
      <c r="K9" s="78" t="s">
        <v>90</v>
      </c>
    </row>
    <row r="10" spans="1:11" ht="165" x14ac:dyDescent="0.25">
      <c r="A10" s="70" t="s">
        <v>68</v>
      </c>
      <c r="B10" s="71" t="s">
        <v>46</v>
      </c>
      <c r="C10" s="76" t="s">
        <v>93</v>
      </c>
      <c r="D10" s="72" t="s">
        <v>111</v>
      </c>
      <c r="E10" s="76" t="s">
        <v>112</v>
      </c>
      <c r="F10" s="71">
        <v>2</v>
      </c>
      <c r="G10" s="71" t="s">
        <v>76</v>
      </c>
      <c r="H10" s="71" t="s">
        <v>17</v>
      </c>
      <c r="I10" s="71" t="s">
        <v>18</v>
      </c>
      <c r="J10" s="71" t="s">
        <v>47</v>
      </c>
      <c r="K10" s="78" t="s">
        <v>90</v>
      </c>
    </row>
    <row r="11" spans="1:11" ht="180" x14ac:dyDescent="0.25">
      <c r="A11" s="70" t="s">
        <v>68</v>
      </c>
      <c r="B11" s="71" t="s">
        <v>46</v>
      </c>
      <c r="C11" s="76" t="s">
        <v>94</v>
      </c>
      <c r="D11" s="72" t="s">
        <v>111</v>
      </c>
      <c r="E11" s="76" t="s">
        <v>113</v>
      </c>
      <c r="F11" s="71">
        <v>1</v>
      </c>
      <c r="G11" s="71" t="s">
        <v>95</v>
      </c>
      <c r="H11" s="71" t="s">
        <v>13</v>
      </c>
      <c r="I11" s="71" t="s">
        <v>14</v>
      </c>
      <c r="J11" s="71" t="s">
        <v>47</v>
      </c>
      <c r="K11" s="78" t="s">
        <v>114</v>
      </c>
    </row>
    <row r="12" spans="1:11" ht="345" x14ac:dyDescent="0.25">
      <c r="A12" s="70" t="s">
        <v>68</v>
      </c>
      <c r="B12" s="71" t="s">
        <v>46</v>
      </c>
      <c r="C12" s="76" t="s">
        <v>96</v>
      </c>
      <c r="D12" s="72" t="s">
        <v>85</v>
      </c>
      <c r="E12" s="76" t="s">
        <v>115</v>
      </c>
      <c r="F12" s="71">
        <v>1</v>
      </c>
      <c r="G12" s="71" t="s">
        <v>76</v>
      </c>
      <c r="H12" s="71" t="s">
        <v>17</v>
      </c>
      <c r="I12" s="71" t="s">
        <v>14</v>
      </c>
      <c r="J12" s="71" t="s">
        <v>47</v>
      </c>
      <c r="K12" s="78" t="s">
        <v>99</v>
      </c>
    </row>
    <row r="13" spans="1:11" ht="360" x14ac:dyDescent="0.25">
      <c r="A13" s="70" t="s">
        <v>68</v>
      </c>
      <c r="B13" s="71" t="s">
        <v>46</v>
      </c>
      <c r="C13" s="76" t="s">
        <v>97</v>
      </c>
      <c r="D13" s="72" t="s">
        <v>116</v>
      </c>
      <c r="E13" s="76" t="s">
        <v>118</v>
      </c>
      <c r="F13" s="71">
        <v>1</v>
      </c>
      <c r="G13" s="71" t="s">
        <v>76</v>
      </c>
      <c r="H13" s="71" t="s">
        <v>17</v>
      </c>
      <c r="I13" s="71" t="s">
        <v>14</v>
      </c>
      <c r="J13" s="71" t="s">
        <v>47</v>
      </c>
      <c r="K13" s="78" t="s">
        <v>99</v>
      </c>
    </row>
    <row r="14" spans="1:11" ht="315" x14ac:dyDescent="0.25">
      <c r="A14" s="70" t="s">
        <v>68</v>
      </c>
      <c r="B14" s="71" t="s">
        <v>46</v>
      </c>
      <c r="C14" s="76" t="s">
        <v>98</v>
      </c>
      <c r="D14" s="72" t="s">
        <v>116</v>
      </c>
      <c r="E14" s="76" t="s">
        <v>117</v>
      </c>
      <c r="F14" s="71">
        <v>1</v>
      </c>
      <c r="G14" s="71" t="s">
        <v>76</v>
      </c>
      <c r="H14" s="71" t="s">
        <v>17</v>
      </c>
      <c r="I14" s="71" t="s">
        <v>14</v>
      </c>
      <c r="J14" s="71" t="s">
        <v>47</v>
      </c>
      <c r="K14" s="78" t="s">
        <v>99</v>
      </c>
    </row>
    <row r="15" spans="1:11" ht="210" x14ac:dyDescent="0.25">
      <c r="A15" s="70" t="s">
        <v>68</v>
      </c>
      <c r="B15" s="71" t="s">
        <v>46</v>
      </c>
      <c r="C15" s="76" t="s">
        <v>100</v>
      </c>
      <c r="D15" s="72" t="s">
        <v>107</v>
      </c>
      <c r="E15" s="76" t="s">
        <v>123</v>
      </c>
      <c r="F15" s="71">
        <v>1</v>
      </c>
      <c r="G15" s="71" t="s">
        <v>76</v>
      </c>
      <c r="H15" s="71" t="s">
        <v>17</v>
      </c>
      <c r="I15" s="71" t="s">
        <v>14</v>
      </c>
      <c r="J15" s="71" t="s">
        <v>47</v>
      </c>
      <c r="K15" s="78"/>
    </row>
    <row r="16" spans="1:11" ht="210" x14ac:dyDescent="0.25">
      <c r="A16" s="70" t="s">
        <v>68</v>
      </c>
      <c r="B16" s="71" t="s">
        <v>46</v>
      </c>
      <c r="C16" s="76" t="s">
        <v>102</v>
      </c>
      <c r="D16" s="72" t="s">
        <v>107</v>
      </c>
      <c r="E16" s="76" t="s">
        <v>124</v>
      </c>
      <c r="F16" s="71">
        <v>1</v>
      </c>
      <c r="G16" s="71" t="s">
        <v>76</v>
      </c>
      <c r="H16" s="71" t="s">
        <v>13</v>
      </c>
      <c r="I16" s="71" t="s">
        <v>14</v>
      </c>
      <c r="J16" s="71" t="s">
        <v>47</v>
      </c>
      <c r="K16" s="78" t="s">
        <v>104</v>
      </c>
    </row>
    <row r="17" spans="1:11" ht="210" x14ac:dyDescent="0.25">
      <c r="A17" s="70" t="s">
        <v>68</v>
      </c>
      <c r="B17" s="71" t="s">
        <v>46</v>
      </c>
      <c r="C17" s="76" t="s">
        <v>101</v>
      </c>
      <c r="D17" s="72" t="s">
        <v>107</v>
      </c>
      <c r="E17" s="76" t="s">
        <v>124</v>
      </c>
      <c r="F17" s="71">
        <v>1</v>
      </c>
      <c r="G17" s="71" t="s">
        <v>76</v>
      </c>
      <c r="H17" s="71" t="s">
        <v>13</v>
      </c>
      <c r="I17" s="71" t="s">
        <v>14</v>
      </c>
      <c r="J17" s="71" t="s">
        <v>47</v>
      </c>
      <c r="K17" s="78" t="s">
        <v>105</v>
      </c>
    </row>
    <row r="18" spans="1:11" ht="210" x14ac:dyDescent="0.25">
      <c r="A18" s="70" t="s">
        <v>68</v>
      </c>
      <c r="B18" s="71" t="s">
        <v>46</v>
      </c>
      <c r="C18" s="76" t="s">
        <v>103</v>
      </c>
      <c r="D18" s="72" t="s">
        <v>107</v>
      </c>
      <c r="E18" s="76" t="s">
        <v>124</v>
      </c>
      <c r="F18" s="71">
        <v>1</v>
      </c>
      <c r="G18" s="71" t="s">
        <v>76</v>
      </c>
      <c r="H18" s="71" t="s">
        <v>13</v>
      </c>
      <c r="I18" s="71" t="s">
        <v>14</v>
      </c>
      <c r="J18" s="71" t="s">
        <v>47</v>
      </c>
      <c r="K18" s="78" t="s">
        <v>106</v>
      </c>
    </row>
    <row r="19" spans="1:11" x14ac:dyDescent="0.25">
      <c r="A19" s="70"/>
    </row>
    <row r="20" spans="1:11" x14ac:dyDescent="0.25">
      <c r="A20" s="70"/>
    </row>
    <row r="21" spans="1:11" x14ac:dyDescent="0.25">
      <c r="A21" s="70"/>
    </row>
    <row r="22" spans="1:11" x14ac:dyDescent="0.25">
      <c r="A22" s="70"/>
    </row>
    <row r="23" spans="1:11" x14ac:dyDescent="0.25">
      <c r="A23" s="70"/>
    </row>
    <row r="24" spans="1:11" x14ac:dyDescent="0.25">
      <c r="A24" s="70"/>
    </row>
    <row r="25" spans="1:11" x14ac:dyDescent="0.25">
      <c r="A25" s="70"/>
    </row>
    <row r="26" spans="1:11" x14ac:dyDescent="0.25">
      <c r="A26" s="70"/>
    </row>
    <row r="27" spans="1:11" x14ac:dyDescent="0.25">
      <c r="A27" s="70"/>
    </row>
    <row r="28" spans="1:11" x14ac:dyDescent="0.25">
      <c r="A28" s="70"/>
    </row>
    <row r="29" spans="1:11" x14ac:dyDescent="0.25">
      <c r="A29" s="70"/>
    </row>
    <row r="30" spans="1:11" x14ac:dyDescent="0.25">
      <c r="A30" s="70"/>
    </row>
    <row r="31" spans="1:11" x14ac:dyDescent="0.25">
      <c r="A31" s="70"/>
    </row>
    <row r="32" spans="1:11" x14ac:dyDescent="0.25">
      <c r="A32" s="70"/>
    </row>
  </sheetData>
  <sheetProtection sheet="1" objects="1" scenarios="1"/>
  <phoneticPr fontId="7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F15ED4B-AF07-488C-9216-52D25FBD9F38}">
          <x14:formula1>
            <xm:f>Legends!$B$2:$B$3</xm:f>
          </x14:formula1>
          <xm:sqref>H1:H1048576</xm:sqref>
        </x14:dataValidation>
        <x14:dataValidation type="list" allowBlank="1" showInputMessage="1" showErrorMessage="1" xr:uid="{AE907A42-C4BE-4672-BAD4-F615D195DA7E}">
          <x14:formula1>
            <xm:f>Legends!$C$2:$C$4</xm:f>
          </x14:formula1>
          <xm:sqref>I1:I1048576</xm:sqref>
        </x14:dataValidation>
        <x14:dataValidation type="list" allowBlank="1" showInputMessage="1" showErrorMessage="1" xr:uid="{0E4021AC-3F3E-4247-A04B-38CFF6C8FD5B}">
          <x14:formula1>
            <xm:f>Legends!$G$2:$G$4</xm:f>
          </x14:formula1>
          <xm:sqref>J1:J1048576</xm:sqref>
        </x14:dataValidation>
        <x14:dataValidation type="list" allowBlank="1" showInputMessage="1" showErrorMessage="1" xr:uid="{1FB44D90-9B91-4103-AEE8-8812535D9BEC}">
          <x14:formula1>
            <xm:f>Legends!$A$2:$A$13</xm:f>
          </x14:formula1>
          <xm:sqref>G1:G1048576</xm:sqref>
        </x14:dataValidation>
        <x14:dataValidation type="list" allowBlank="1" showInputMessage="1" showErrorMessage="1" xr:uid="{44D9575F-54D2-45E0-A75F-9F18F11A0BAC}">
          <x14:formula1>
            <xm:f>'Brainstorm Flow'!$A$2:$A$35</xm:f>
          </x14:formula1>
          <xm:sqref>B1:B1048576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54B9-22BA-45C7-BA84-6CA108CC0DC9}">
  <sheetPr>
    <tabColor theme="5" tint="-0.249977111117893"/>
  </sheetPr>
  <dimension ref="A1:F24"/>
  <sheetViews>
    <sheetView workbookViewId="0">
      <selection activeCell="A2" sqref="A2"/>
    </sheetView>
  </sheetViews>
  <sheetFormatPr defaultRowHeight="15" x14ac:dyDescent="0.25"/>
  <cols>
    <col min="1" max="2" width="21.28515625" style="73" customWidth="1"/>
    <col min="3" max="3" width="18.7109375" style="73" customWidth="1"/>
    <col min="4" max="4" width="58.5703125" style="77" customWidth="1"/>
    <col min="5" max="5" width="33.85546875" style="74" customWidth="1"/>
    <col min="7" max="16384" width="9.140625" style="2"/>
  </cols>
  <sheetData>
    <row r="1" spans="1:5" s="63" customFormat="1" ht="16.5" thickBot="1" x14ac:dyDescent="0.3">
      <c r="A1" s="61" t="s">
        <v>35</v>
      </c>
      <c r="B1" s="62" t="s">
        <v>36</v>
      </c>
      <c r="C1" s="61" t="s">
        <v>10</v>
      </c>
      <c r="D1" s="62" t="s">
        <v>37</v>
      </c>
      <c r="E1" s="62" t="s">
        <v>38</v>
      </c>
    </row>
    <row r="2" spans="1:5" ht="60" x14ac:dyDescent="0.25">
      <c r="A2" s="71" t="s">
        <v>46</v>
      </c>
      <c r="B2" s="71" t="s">
        <v>127</v>
      </c>
      <c r="C2" s="71" t="s">
        <v>14</v>
      </c>
      <c r="D2" s="76" t="s">
        <v>72</v>
      </c>
      <c r="E2" s="72" t="s">
        <v>74</v>
      </c>
    </row>
    <row r="3" spans="1:5" ht="60" x14ac:dyDescent="0.25">
      <c r="A3" s="71" t="s">
        <v>46</v>
      </c>
      <c r="B3" s="71" t="s">
        <v>127</v>
      </c>
      <c r="C3" s="71" t="s">
        <v>14</v>
      </c>
      <c r="D3" s="76" t="s">
        <v>73</v>
      </c>
      <c r="E3" s="72" t="s">
        <v>74</v>
      </c>
    </row>
    <row r="4" spans="1:5" ht="60" x14ac:dyDescent="0.25">
      <c r="A4" s="71" t="s">
        <v>46</v>
      </c>
      <c r="B4" s="71" t="s">
        <v>127</v>
      </c>
      <c r="C4" s="71" t="s">
        <v>14</v>
      </c>
      <c r="D4" s="76" t="s">
        <v>79</v>
      </c>
      <c r="E4" s="72" t="s">
        <v>74</v>
      </c>
    </row>
    <row r="5" spans="1:5" ht="45" x14ac:dyDescent="0.25">
      <c r="A5" s="71" t="s">
        <v>46</v>
      </c>
      <c r="B5" s="71" t="s">
        <v>127</v>
      </c>
      <c r="C5" s="71" t="s">
        <v>14</v>
      </c>
      <c r="D5" s="76" t="s">
        <v>84</v>
      </c>
      <c r="E5" s="72" t="s">
        <v>85</v>
      </c>
    </row>
    <row r="6" spans="1:5" ht="45" x14ac:dyDescent="0.25">
      <c r="A6" s="71" t="s">
        <v>46</v>
      </c>
      <c r="B6" s="71" t="s">
        <v>127</v>
      </c>
      <c r="C6" s="71" t="s">
        <v>14</v>
      </c>
      <c r="D6" s="76" t="s">
        <v>86</v>
      </c>
      <c r="E6" s="72" t="s">
        <v>85</v>
      </c>
    </row>
    <row r="7" spans="1:5" ht="60" x14ac:dyDescent="0.25">
      <c r="A7" s="71" t="s">
        <v>46</v>
      </c>
      <c r="B7" s="71" t="s">
        <v>131</v>
      </c>
      <c r="C7" s="71" t="s">
        <v>21</v>
      </c>
      <c r="D7" s="76" t="s">
        <v>160</v>
      </c>
      <c r="E7" s="72" t="s">
        <v>85</v>
      </c>
    </row>
    <row r="8" spans="1:5" ht="60" x14ac:dyDescent="0.25">
      <c r="A8" s="71" t="s">
        <v>46</v>
      </c>
      <c r="B8" s="71" t="s">
        <v>131</v>
      </c>
      <c r="C8" s="71" t="s">
        <v>21</v>
      </c>
      <c r="D8" s="76" t="s">
        <v>161</v>
      </c>
      <c r="E8" s="72" t="s">
        <v>85</v>
      </c>
    </row>
    <row r="9" spans="1:5" ht="60" x14ac:dyDescent="0.25">
      <c r="A9" s="71" t="s">
        <v>46</v>
      </c>
      <c r="B9" s="71" t="s">
        <v>131</v>
      </c>
      <c r="C9" s="71" t="s">
        <v>21</v>
      </c>
      <c r="D9" s="76" t="s">
        <v>162</v>
      </c>
      <c r="E9" s="72" t="s">
        <v>85</v>
      </c>
    </row>
    <row r="10" spans="1:5" ht="60" x14ac:dyDescent="0.25">
      <c r="A10" s="71" t="s">
        <v>46</v>
      </c>
      <c r="B10" s="71" t="s">
        <v>131</v>
      </c>
      <c r="C10" s="71" t="s">
        <v>21</v>
      </c>
      <c r="D10" s="76" t="s">
        <v>163</v>
      </c>
      <c r="E10" s="72" t="s">
        <v>85</v>
      </c>
    </row>
    <row r="11" spans="1:5" ht="45" x14ac:dyDescent="0.25">
      <c r="A11" s="71" t="s">
        <v>46</v>
      </c>
      <c r="B11" s="71" t="s">
        <v>132</v>
      </c>
      <c r="C11" s="71" t="s">
        <v>18</v>
      </c>
      <c r="D11" s="76" t="s">
        <v>164</v>
      </c>
      <c r="E11" s="72" t="s">
        <v>85</v>
      </c>
    </row>
    <row r="12" spans="1:5" ht="45" x14ac:dyDescent="0.25">
      <c r="A12" s="71" t="s">
        <v>46</v>
      </c>
      <c r="B12" s="71" t="s">
        <v>132</v>
      </c>
      <c r="C12" s="71" t="s">
        <v>18</v>
      </c>
      <c r="D12" s="76" t="s">
        <v>165</v>
      </c>
      <c r="E12" s="72" t="s">
        <v>85</v>
      </c>
    </row>
    <row r="13" spans="1:5" ht="60" x14ac:dyDescent="0.25">
      <c r="A13" s="71" t="s">
        <v>46</v>
      </c>
      <c r="B13" s="71" t="s">
        <v>132</v>
      </c>
      <c r="C13" s="71" t="s">
        <v>18</v>
      </c>
      <c r="D13" s="76" t="s">
        <v>166</v>
      </c>
      <c r="E13" s="72" t="s">
        <v>111</v>
      </c>
    </row>
    <row r="14" spans="1:5" ht="60" x14ac:dyDescent="0.25">
      <c r="A14" s="71" t="s">
        <v>46</v>
      </c>
      <c r="B14" s="71" t="s">
        <v>132</v>
      </c>
      <c r="C14" s="71" t="s">
        <v>18</v>
      </c>
      <c r="D14" s="76" t="s">
        <v>167</v>
      </c>
      <c r="E14" s="72" t="s">
        <v>111</v>
      </c>
    </row>
    <row r="15" spans="1:5" ht="60" x14ac:dyDescent="0.25">
      <c r="A15" s="71" t="s">
        <v>46</v>
      </c>
      <c r="B15" s="71" t="s">
        <v>132</v>
      </c>
      <c r="C15" s="71" t="s">
        <v>18</v>
      </c>
      <c r="D15" s="76" t="s">
        <v>168</v>
      </c>
      <c r="E15" s="72" t="s">
        <v>111</v>
      </c>
    </row>
    <row r="16" spans="1:5" ht="60" x14ac:dyDescent="0.25">
      <c r="A16" s="71" t="s">
        <v>46</v>
      </c>
      <c r="B16" s="71" t="s">
        <v>132</v>
      </c>
      <c r="C16" s="71" t="s">
        <v>18</v>
      </c>
      <c r="D16" s="76" t="s">
        <v>169</v>
      </c>
      <c r="E16" s="72" t="s">
        <v>111</v>
      </c>
    </row>
    <row r="17" spans="1:5" ht="60" x14ac:dyDescent="0.25">
      <c r="A17" s="71" t="s">
        <v>46</v>
      </c>
      <c r="B17" s="71" t="s">
        <v>132</v>
      </c>
      <c r="C17" s="71" t="s">
        <v>14</v>
      </c>
      <c r="D17" s="76" t="s">
        <v>170</v>
      </c>
      <c r="E17" s="72" t="s">
        <v>111</v>
      </c>
    </row>
    <row r="18" spans="1:5" ht="45" x14ac:dyDescent="0.25">
      <c r="A18" s="71" t="s">
        <v>46</v>
      </c>
      <c r="B18" s="71" t="s">
        <v>129</v>
      </c>
      <c r="C18" s="71" t="s">
        <v>14</v>
      </c>
      <c r="D18" s="76" t="s">
        <v>171</v>
      </c>
      <c r="E18" s="72" t="s">
        <v>85</v>
      </c>
    </row>
    <row r="19" spans="1:5" ht="60" x14ac:dyDescent="0.25">
      <c r="A19" s="71" t="s">
        <v>46</v>
      </c>
      <c r="B19" s="71" t="s">
        <v>129</v>
      </c>
      <c r="C19" s="71" t="s">
        <v>14</v>
      </c>
      <c r="D19" s="76" t="s">
        <v>172</v>
      </c>
      <c r="E19" s="72" t="s">
        <v>116</v>
      </c>
    </row>
    <row r="20" spans="1:5" ht="60" x14ac:dyDescent="0.25">
      <c r="A20" s="71" t="s">
        <v>46</v>
      </c>
      <c r="B20" s="71" t="s">
        <v>129</v>
      </c>
      <c r="C20" s="71" t="s">
        <v>14</v>
      </c>
      <c r="D20" s="76" t="s">
        <v>173</v>
      </c>
      <c r="E20" s="72" t="s">
        <v>116</v>
      </c>
    </row>
    <row r="21" spans="1:5" ht="30" x14ac:dyDescent="0.25">
      <c r="A21" s="71" t="s">
        <v>46</v>
      </c>
      <c r="B21" s="71" t="s">
        <v>133</v>
      </c>
      <c r="C21" s="71" t="s">
        <v>14</v>
      </c>
      <c r="D21" s="76" t="s">
        <v>174</v>
      </c>
      <c r="E21" s="72" t="s">
        <v>107</v>
      </c>
    </row>
    <row r="22" spans="1:5" ht="45" x14ac:dyDescent="0.25">
      <c r="A22" s="71" t="s">
        <v>46</v>
      </c>
      <c r="B22" s="71" t="s">
        <v>133</v>
      </c>
      <c r="C22" s="71" t="s">
        <v>14</v>
      </c>
      <c r="D22" s="76" t="s">
        <v>175</v>
      </c>
      <c r="E22" s="72" t="s">
        <v>107</v>
      </c>
    </row>
    <row r="23" spans="1:5" ht="45" x14ac:dyDescent="0.25">
      <c r="A23" s="71" t="s">
        <v>46</v>
      </c>
      <c r="B23" s="71" t="s">
        <v>133</v>
      </c>
      <c r="C23" s="71" t="s">
        <v>14</v>
      </c>
      <c r="D23" s="76" t="s">
        <v>176</v>
      </c>
      <c r="E23" s="72" t="s">
        <v>107</v>
      </c>
    </row>
    <row r="24" spans="1:5" ht="45" x14ac:dyDescent="0.25">
      <c r="A24" s="71" t="s">
        <v>46</v>
      </c>
      <c r="B24" s="71" t="s">
        <v>133</v>
      </c>
      <c r="C24" s="71" t="s">
        <v>14</v>
      </c>
      <c r="D24" s="76" t="s">
        <v>177</v>
      </c>
      <c r="E24" s="72" t="s">
        <v>107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CE03FCA-DB1E-470A-A8AC-6ACD3F53F6BB}">
          <x14:formula1>
            <xm:f>'Brainstorm Flow'!$A$2:$A$35</xm:f>
          </x14:formula1>
          <xm:sqref>A1:A1048576</xm:sqref>
        </x14:dataValidation>
        <x14:dataValidation type="list" allowBlank="1" showInputMessage="1" showErrorMessage="1" xr:uid="{6B04106D-ACC2-49FF-B504-A66F8C00519C}">
          <x14:formula1>
            <xm:f>Legends!$C$2:$C$4</xm:f>
          </x14:formula1>
          <xm:sqref>C1:C1048576</xm:sqref>
        </x14:dataValidation>
        <x14:dataValidation type="list" allowBlank="1" showInputMessage="1" showErrorMessage="1" xr:uid="{466E486A-4951-4899-92CC-A7DC41C45C29}">
          <x14:formula1>
            <xm:f>'Brainstorm Flow'!$B$2:$B$8</xm:f>
          </x14:formula1>
          <xm:sqref>B2:C1048576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800FA-05ED-43B9-9410-C56E00E0BE24}">
  <sheetPr>
    <tabColor theme="5" tint="-0.249977111117893"/>
  </sheetPr>
  <dimension ref="A1:E4"/>
  <sheetViews>
    <sheetView workbookViewId="0"/>
  </sheetViews>
  <sheetFormatPr defaultRowHeight="15" x14ac:dyDescent="0.25"/>
  <cols>
    <col min="1" max="1" width="22.28515625" style="6" customWidth="1"/>
    <col min="2" max="2" width="13.5703125" style="12" customWidth="1"/>
    <col min="3" max="3" width="20.140625" style="12" customWidth="1"/>
    <col min="4" max="4" width="48.140625" style="12" customWidth="1"/>
    <col min="5" max="5" width="80.85546875" style="12" customWidth="1"/>
  </cols>
  <sheetData>
    <row r="1" spans="1:5" ht="16.5" thickBot="1" x14ac:dyDescent="0.3">
      <c r="A1" s="64" t="s">
        <v>50</v>
      </c>
      <c r="B1" s="65" t="s">
        <v>51</v>
      </c>
      <c r="C1" s="65" t="s">
        <v>52</v>
      </c>
      <c r="D1" s="65" t="s">
        <v>53</v>
      </c>
      <c r="E1" s="65" t="s">
        <v>34</v>
      </c>
    </row>
    <row r="2" spans="1:5" x14ac:dyDescent="0.25">
      <c r="A2" s="5" t="s">
        <v>46</v>
      </c>
      <c r="B2" s="11" t="s">
        <v>16</v>
      </c>
      <c r="C2" s="20"/>
      <c r="D2" s="11"/>
      <c r="E2" s="11"/>
    </row>
    <row r="3" spans="1:5" x14ac:dyDescent="0.25">
      <c r="A3" s="6" t="s">
        <v>125</v>
      </c>
      <c r="B3" s="12" t="s">
        <v>16</v>
      </c>
    </row>
    <row r="4" spans="1:5" x14ac:dyDescent="0.25">
      <c r="A4" s="6" t="s">
        <v>126</v>
      </c>
      <c r="B4" s="12" t="s">
        <v>16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E40AC1-E536-4675-98ED-E460B1911958}">
          <x14:formula1>
            <xm:f>Legends!$E$2:$E$4</xm:f>
          </x14:formula1>
          <xm:sqref>B1:B1048576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0AED-E615-433A-A90B-AE6299A36392}">
  <sheetPr>
    <tabColor theme="5" tint="-0.249977111117893"/>
  </sheetPr>
  <dimension ref="A1:F11"/>
  <sheetViews>
    <sheetView workbookViewId="0"/>
  </sheetViews>
  <sheetFormatPr defaultRowHeight="15" x14ac:dyDescent="0.25"/>
  <cols>
    <col min="1" max="1" width="22.28515625" style="6" customWidth="1"/>
    <col min="2" max="2" width="30.140625" style="6" customWidth="1"/>
    <col min="3" max="6" width="22.28515625" style="6" customWidth="1"/>
  </cols>
  <sheetData>
    <row r="1" spans="1:6" ht="16.5" thickBot="1" x14ac:dyDescent="0.3">
      <c r="A1" s="64" t="s">
        <v>128</v>
      </c>
      <c r="B1" s="64" t="s">
        <v>130</v>
      </c>
      <c r="C1" s="64" t="s">
        <v>139</v>
      </c>
      <c r="D1" s="64" t="s">
        <v>140</v>
      </c>
      <c r="E1" s="64" t="s">
        <v>141</v>
      </c>
      <c r="F1" s="64" t="s">
        <v>143</v>
      </c>
    </row>
    <row r="2" spans="1:6" x14ac:dyDescent="0.25">
      <c r="A2" s="5" t="s">
        <v>108</v>
      </c>
      <c r="B2" s="5" t="s">
        <v>127</v>
      </c>
      <c r="C2" s="6" t="s">
        <v>69</v>
      </c>
      <c r="D2" s="6" t="s">
        <v>137</v>
      </c>
      <c r="E2" s="6" t="s">
        <v>142</v>
      </c>
      <c r="F2" s="6" t="s">
        <v>142</v>
      </c>
    </row>
    <row r="3" spans="1:6" x14ac:dyDescent="0.25">
      <c r="A3" s="5"/>
      <c r="B3" s="6" t="s">
        <v>129</v>
      </c>
      <c r="C3" s="6" t="s">
        <v>70</v>
      </c>
      <c r="D3" s="6" t="s">
        <v>138</v>
      </c>
      <c r="E3" s="6" t="s">
        <v>20</v>
      </c>
      <c r="F3" s="6" t="s">
        <v>20</v>
      </c>
    </row>
    <row r="4" spans="1:6" x14ac:dyDescent="0.25">
      <c r="A4" s="5"/>
      <c r="B4" s="6" t="s">
        <v>131</v>
      </c>
      <c r="C4" s="6" t="s">
        <v>136</v>
      </c>
    </row>
    <row r="5" spans="1:6" x14ac:dyDescent="0.25">
      <c r="A5" s="5"/>
      <c r="B5" s="6" t="s">
        <v>132</v>
      </c>
    </row>
    <row r="6" spans="1:6" x14ac:dyDescent="0.25">
      <c r="A6" s="5"/>
      <c r="B6" s="6" t="s">
        <v>133</v>
      </c>
    </row>
    <row r="7" spans="1:6" x14ac:dyDescent="0.25">
      <c r="A7" s="5"/>
      <c r="B7" s="80" t="s">
        <v>134</v>
      </c>
    </row>
    <row r="8" spans="1:6" x14ac:dyDescent="0.25">
      <c r="A8" s="5"/>
      <c r="B8" s="80" t="s">
        <v>135</v>
      </c>
    </row>
    <row r="9" spans="1:6" x14ac:dyDescent="0.25">
      <c r="A9" s="5"/>
    </row>
    <row r="10" spans="1:6" x14ac:dyDescent="0.25">
      <c r="A10" s="5"/>
    </row>
    <row r="11" spans="1:6" x14ac:dyDescent="0.25">
      <c r="A11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61CE-7356-471E-BAF4-B39B163D6786}">
  <sheetPr>
    <tabColor theme="5" tint="-0.249977111117893"/>
  </sheetPr>
  <dimension ref="A1:I9"/>
  <sheetViews>
    <sheetView workbookViewId="0"/>
  </sheetViews>
  <sheetFormatPr defaultRowHeight="15" x14ac:dyDescent="0.25"/>
  <cols>
    <col min="1" max="1" width="17.28515625" style="10" customWidth="1"/>
    <col min="2" max="2" width="21.140625" style="15" customWidth="1"/>
    <col min="3" max="3" width="20.7109375" style="19" customWidth="1"/>
    <col min="4" max="4" width="20.140625" style="19" customWidth="1"/>
    <col min="5" max="5" width="20.140625" style="10" customWidth="1"/>
    <col min="6" max="6" width="21.140625" style="15" customWidth="1"/>
    <col min="7" max="9" width="21.140625" style="7" customWidth="1"/>
    <col min="10" max="16384" width="9.140625" style="18"/>
  </cols>
  <sheetData>
    <row r="1" spans="1:9" s="16" customFormat="1" ht="16.5" thickBot="1" x14ac:dyDescent="0.3">
      <c r="A1" s="66" t="s">
        <v>8</v>
      </c>
      <c r="B1" s="67" t="s">
        <v>9</v>
      </c>
      <c r="C1" s="68" t="s">
        <v>10</v>
      </c>
      <c r="D1" s="68" t="s">
        <v>11</v>
      </c>
      <c r="E1" s="66" t="s">
        <v>61</v>
      </c>
      <c r="F1" s="67" t="s">
        <v>44</v>
      </c>
      <c r="G1" s="69" t="s">
        <v>62</v>
      </c>
      <c r="H1" s="69"/>
      <c r="I1" s="69"/>
    </row>
    <row r="2" spans="1:9" x14ac:dyDescent="0.25">
      <c r="A2" s="9" t="s">
        <v>76</v>
      </c>
      <c r="B2" s="14" t="s">
        <v>13</v>
      </c>
      <c r="C2" s="17" t="s">
        <v>14</v>
      </c>
      <c r="D2" s="17" t="s">
        <v>15</v>
      </c>
      <c r="E2" s="9" t="s">
        <v>16</v>
      </c>
      <c r="F2" s="14" t="s">
        <v>30</v>
      </c>
      <c r="G2" s="8" t="s">
        <v>47</v>
      </c>
      <c r="H2" s="8"/>
      <c r="I2" s="8"/>
    </row>
    <row r="3" spans="1:9" x14ac:dyDescent="0.25">
      <c r="A3" s="10" t="s">
        <v>75</v>
      </c>
      <c r="B3" s="15" t="s">
        <v>17</v>
      </c>
      <c r="C3" s="19" t="s">
        <v>18</v>
      </c>
      <c r="D3" s="19" t="s">
        <v>19</v>
      </c>
      <c r="E3" s="10" t="s">
        <v>20</v>
      </c>
      <c r="F3" s="15" t="s">
        <v>31</v>
      </c>
      <c r="G3" s="7" t="s">
        <v>48</v>
      </c>
    </row>
    <row r="4" spans="1:9" x14ac:dyDescent="0.25">
      <c r="A4" s="10" t="s">
        <v>77</v>
      </c>
      <c r="C4" s="19" t="s">
        <v>21</v>
      </c>
      <c r="D4" s="19" t="s">
        <v>12</v>
      </c>
      <c r="E4" s="10" t="s">
        <v>22</v>
      </c>
      <c r="F4" s="15" t="s">
        <v>32</v>
      </c>
      <c r="G4" s="7" t="s">
        <v>49</v>
      </c>
    </row>
    <row r="5" spans="1:9" x14ac:dyDescent="0.25">
      <c r="A5" s="10" t="s">
        <v>78</v>
      </c>
      <c r="D5" s="19" t="s">
        <v>23</v>
      </c>
    </row>
    <row r="6" spans="1:9" x14ac:dyDescent="0.25">
      <c r="A6" s="10" t="s">
        <v>71</v>
      </c>
    </row>
    <row r="7" spans="1:9" x14ac:dyDescent="0.25">
      <c r="A7" s="10" t="s">
        <v>25</v>
      </c>
    </row>
    <row r="8" spans="1:9" x14ac:dyDescent="0.25">
      <c r="A8" s="10" t="s">
        <v>24</v>
      </c>
    </row>
    <row r="9" spans="1:9" x14ac:dyDescent="0.25">
      <c r="A9" s="10" t="s">
        <v>95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95ED-D220-4C7D-8EDF-B2BB831FE749}">
  <sheetPr>
    <tabColor rgb="FF7030A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4A00-A68B-4A5F-B267-A40563EC2AFD}">
  <sheetPr>
    <tabColor rgb="FF7030A0"/>
  </sheetPr>
  <dimension ref="A1"/>
  <sheetViews>
    <sheetView workbookViewId="0"/>
  </sheetViews>
  <sheetFormatPr defaultRowHeight="15" x14ac:dyDescent="0.25"/>
  <cols>
    <col min="1" max="1" width="12.5703125" bestFit="1" customWidth="1"/>
    <col min="2" max="2" width="20.7109375" customWidth="1"/>
    <col min="3" max="3" width="11.28515625" customWidth="1"/>
    <col min="4" max="4" width="1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Gráficos</vt:lpstr>
      </vt:variant>
      <vt:variant>
        <vt:i4>1</vt:i4>
      </vt:variant>
    </vt:vector>
  </HeadingPairs>
  <TitlesOfParts>
    <vt:vector size="13" baseType="lpstr">
      <vt:lpstr>Version</vt:lpstr>
      <vt:lpstr>Timeline</vt:lpstr>
      <vt:lpstr>Risk</vt:lpstr>
      <vt:lpstr>Q&amp;A</vt:lpstr>
      <vt:lpstr>Features</vt:lpstr>
      <vt:lpstr>High Test Design V1.0</vt:lpstr>
      <vt:lpstr>Low Test Design V1.0</vt:lpstr>
      <vt:lpstr>Impacted Apps</vt:lpstr>
      <vt:lpstr>Brainstorm Flow</vt:lpstr>
      <vt:lpstr>Legends</vt:lpstr>
      <vt:lpstr>Test data - Prod Env</vt:lpstr>
      <vt:lpstr>Test Data - Low Env</vt:lpstr>
      <vt:lpstr>Timeline graphic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Alexandre</cp:lastModifiedBy>
  <cp:revision/>
  <dcterms:created xsi:type="dcterms:W3CDTF">2025-11-03T16:04:55Z</dcterms:created>
  <dcterms:modified xsi:type="dcterms:W3CDTF">2026-02-25T17:08:38Z</dcterms:modified>
  <cp:category/>
  <cp:contentStatus/>
</cp:coreProperties>
</file>